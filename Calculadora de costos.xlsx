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F22F9DF-CBD0-401B-AF00-DC2F893A76A1}" xr6:coauthVersionLast="47" xr6:coauthVersionMax="47" xr10:uidLastSave="{00000000-0000-0000-0000-000000000000}"/>
  <bookViews>
    <workbookView xWindow="-120" yWindow="-120" windowWidth="29040" windowHeight="15720" tabRatio="602" xr2:uid="{00000000-000D-0000-FFFF-FFFF00000000}"/>
  </bookViews>
  <sheets>
    <sheet name="Insumos y gastos" sheetId="3" r:id="rId1"/>
    <sheet name="Calculadora de costos" sheetId="4" r:id="rId2"/>
    <sheet name="Productos" sheetId="6" r:id="rId3"/>
    <sheet name="Lista de precios" sheetId="7" r:id="rId4"/>
  </sheets>
  <definedNames>
    <definedName name="SegmentaciónDeDatos_Proveedor">#N/A</definedName>
    <definedName name="SegmentaciónDeDatos_RUBRO">#N/A</definedName>
    <definedName name="SegmentaciónDeDatos_SUBRUBRO">#N/A</definedName>
    <definedName name="SegmentaciónDeDatos_Tipo_de_insumo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7" l="1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12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13" i="7"/>
  <c r="J12" i="7"/>
  <c r="BK3" i="6"/>
  <c r="BK4" i="6"/>
  <c r="BK5" i="6"/>
  <c r="BK6" i="6"/>
  <c r="BK7" i="6"/>
  <c r="BK8" i="6"/>
  <c r="BK9" i="6"/>
  <c r="BK10" i="6"/>
  <c r="BK11" i="6"/>
  <c r="BK12" i="6"/>
  <c r="BK13" i="6"/>
  <c r="BK14" i="6"/>
  <c r="BK15" i="6"/>
  <c r="BK16" i="6"/>
  <c r="BK17" i="6"/>
  <c r="BK18" i="6"/>
  <c r="BK19" i="6"/>
  <c r="BK20" i="6"/>
  <c r="BK21" i="6"/>
  <c r="BK22" i="6"/>
  <c r="BK23" i="6"/>
  <c r="BK24" i="6"/>
  <c r="BK25" i="6"/>
  <c r="BK26" i="6"/>
  <c r="M31" i="4"/>
  <c r="BE3" i="6"/>
  <c r="BG3" i="6" s="1"/>
  <c r="BE4" i="6"/>
  <c r="BG4" i="6" s="1"/>
  <c r="BE5" i="6"/>
  <c r="BG5" i="6" s="1"/>
  <c r="BE6" i="6"/>
  <c r="BG6" i="6" s="1"/>
  <c r="BE7" i="6"/>
  <c r="BG7" i="6" s="1"/>
  <c r="BE8" i="6"/>
  <c r="BG8" i="6" s="1"/>
  <c r="BE9" i="6"/>
  <c r="BG9" i="6" s="1"/>
  <c r="BE10" i="6"/>
  <c r="BG10" i="6" s="1"/>
  <c r="BE11" i="6"/>
  <c r="BG11" i="6" s="1"/>
  <c r="BE12" i="6"/>
  <c r="BG12" i="6" s="1"/>
  <c r="BE13" i="6"/>
  <c r="BG13" i="6" s="1"/>
  <c r="BE14" i="6"/>
  <c r="BG14" i="6" s="1"/>
  <c r="BE15" i="6"/>
  <c r="BG15" i="6" s="1"/>
  <c r="BE16" i="6"/>
  <c r="BG16" i="6" s="1"/>
  <c r="BE17" i="6"/>
  <c r="BG17" i="6" s="1"/>
  <c r="BE18" i="6"/>
  <c r="BG18" i="6" s="1"/>
  <c r="BE19" i="6"/>
  <c r="BG19" i="6" s="1"/>
  <c r="BE20" i="6"/>
  <c r="BG20" i="6" s="1"/>
  <c r="BE21" i="6"/>
  <c r="BG21" i="6" s="1"/>
  <c r="BE22" i="6"/>
  <c r="BG22" i="6" s="1"/>
  <c r="BE23" i="6"/>
  <c r="BG23" i="6" s="1"/>
  <c r="BE24" i="6"/>
  <c r="BG24" i="6" s="1"/>
  <c r="BE25" i="6"/>
  <c r="BG25" i="6" s="1"/>
  <c r="BE26" i="6"/>
  <c r="BG26" i="6" s="1"/>
  <c r="F6" i="6"/>
  <c r="J6" i="6" s="1"/>
  <c r="F7" i="6"/>
  <c r="J7" i="6" s="1"/>
  <c r="F8" i="6"/>
  <c r="J8" i="6" s="1"/>
  <c r="F9" i="6"/>
  <c r="J9" i="6" s="1"/>
  <c r="F10" i="6"/>
  <c r="J10" i="6" s="1"/>
  <c r="F11" i="6"/>
  <c r="J11" i="6" s="1"/>
  <c r="F12" i="6"/>
  <c r="J12" i="6" s="1"/>
  <c r="F13" i="6"/>
  <c r="J13" i="6" s="1"/>
  <c r="F14" i="6"/>
  <c r="J14" i="6" s="1"/>
  <c r="F15" i="6"/>
  <c r="J15" i="6" s="1"/>
  <c r="F16" i="6"/>
  <c r="J16" i="6" s="1"/>
  <c r="F17" i="6"/>
  <c r="J17" i="6" s="1"/>
  <c r="F18" i="6"/>
  <c r="J18" i="6" s="1"/>
  <c r="F19" i="6"/>
  <c r="J19" i="6" s="1"/>
  <c r="F20" i="6"/>
  <c r="J20" i="6" s="1"/>
  <c r="F21" i="6"/>
  <c r="J21" i="6" s="1"/>
  <c r="F22" i="6"/>
  <c r="J22" i="6" s="1"/>
  <c r="F23" i="6"/>
  <c r="J23" i="6" s="1"/>
  <c r="F24" i="6"/>
  <c r="J24" i="6" s="1"/>
  <c r="F25" i="6"/>
  <c r="J25" i="6" s="1"/>
  <c r="F26" i="6"/>
  <c r="J26" i="6" s="1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M6" i="6"/>
  <c r="Q6" i="6" s="1"/>
  <c r="M7" i="6"/>
  <c r="Q7" i="6" s="1"/>
  <c r="M8" i="6"/>
  <c r="Q8" i="6" s="1"/>
  <c r="M9" i="6"/>
  <c r="Q9" i="6" s="1"/>
  <c r="M10" i="6"/>
  <c r="Q10" i="6" s="1"/>
  <c r="M11" i="6"/>
  <c r="Q11" i="6" s="1"/>
  <c r="M12" i="6"/>
  <c r="Q12" i="6" s="1"/>
  <c r="M13" i="6"/>
  <c r="Q13" i="6" s="1"/>
  <c r="M14" i="6"/>
  <c r="Q14" i="6" s="1"/>
  <c r="M15" i="6"/>
  <c r="Q15" i="6" s="1"/>
  <c r="M16" i="6"/>
  <c r="Q16" i="6" s="1"/>
  <c r="M17" i="6"/>
  <c r="Q17" i="6" s="1"/>
  <c r="M18" i="6"/>
  <c r="Q18" i="6" s="1"/>
  <c r="M19" i="6"/>
  <c r="Q19" i="6" s="1"/>
  <c r="M20" i="6"/>
  <c r="Q20" i="6" s="1"/>
  <c r="M21" i="6"/>
  <c r="Q21" i="6" s="1"/>
  <c r="M22" i="6"/>
  <c r="Q22" i="6" s="1"/>
  <c r="M23" i="6"/>
  <c r="Q23" i="6" s="1"/>
  <c r="M24" i="6"/>
  <c r="Q24" i="6" s="1"/>
  <c r="M25" i="6"/>
  <c r="Q25" i="6" s="1"/>
  <c r="M26" i="6"/>
  <c r="Q26" i="6" s="1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T6" i="6"/>
  <c r="X6" i="6" s="1"/>
  <c r="T7" i="6"/>
  <c r="X7" i="6" s="1"/>
  <c r="T8" i="6"/>
  <c r="X8" i="6" s="1"/>
  <c r="T9" i="6"/>
  <c r="X9" i="6" s="1"/>
  <c r="T10" i="6"/>
  <c r="X10" i="6" s="1"/>
  <c r="T11" i="6"/>
  <c r="X11" i="6" s="1"/>
  <c r="T12" i="6"/>
  <c r="X12" i="6" s="1"/>
  <c r="T13" i="6"/>
  <c r="X13" i="6" s="1"/>
  <c r="T14" i="6"/>
  <c r="X14" i="6" s="1"/>
  <c r="T15" i="6"/>
  <c r="X15" i="6" s="1"/>
  <c r="T16" i="6"/>
  <c r="X16" i="6" s="1"/>
  <c r="T17" i="6"/>
  <c r="X17" i="6" s="1"/>
  <c r="T18" i="6"/>
  <c r="X18" i="6" s="1"/>
  <c r="T19" i="6"/>
  <c r="X19" i="6" s="1"/>
  <c r="T20" i="6"/>
  <c r="X20" i="6" s="1"/>
  <c r="T21" i="6"/>
  <c r="X21" i="6" s="1"/>
  <c r="T22" i="6"/>
  <c r="X22" i="6" s="1"/>
  <c r="T23" i="6"/>
  <c r="X23" i="6" s="1"/>
  <c r="T24" i="6"/>
  <c r="X24" i="6" s="1"/>
  <c r="T25" i="6"/>
  <c r="X25" i="6" s="1"/>
  <c r="T26" i="6"/>
  <c r="X26" i="6" s="1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AA6" i="6"/>
  <c r="AE6" i="6" s="1"/>
  <c r="AA7" i="6"/>
  <c r="AE7" i="6" s="1"/>
  <c r="AA8" i="6"/>
  <c r="AE8" i="6" s="1"/>
  <c r="AA9" i="6"/>
  <c r="AE9" i="6" s="1"/>
  <c r="AA10" i="6"/>
  <c r="AE10" i="6" s="1"/>
  <c r="AA11" i="6"/>
  <c r="AE11" i="6" s="1"/>
  <c r="AA12" i="6"/>
  <c r="AE12" i="6" s="1"/>
  <c r="AA13" i="6"/>
  <c r="AE13" i="6" s="1"/>
  <c r="AA14" i="6"/>
  <c r="AE14" i="6" s="1"/>
  <c r="AA15" i="6"/>
  <c r="AE15" i="6" s="1"/>
  <c r="AA16" i="6"/>
  <c r="AE16" i="6" s="1"/>
  <c r="AA17" i="6"/>
  <c r="AE17" i="6" s="1"/>
  <c r="AA18" i="6"/>
  <c r="AE18" i="6" s="1"/>
  <c r="AA19" i="6"/>
  <c r="AE19" i="6" s="1"/>
  <c r="AA20" i="6"/>
  <c r="AE20" i="6" s="1"/>
  <c r="AA21" i="6"/>
  <c r="AE21" i="6" s="1"/>
  <c r="AA22" i="6"/>
  <c r="AE22" i="6" s="1"/>
  <c r="AA23" i="6"/>
  <c r="AE23" i="6" s="1"/>
  <c r="AA24" i="6"/>
  <c r="AE24" i="6" s="1"/>
  <c r="AA25" i="6"/>
  <c r="AE25" i="6" s="1"/>
  <c r="AA26" i="6"/>
  <c r="AE26" i="6" s="1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H6" i="6"/>
  <c r="AL6" i="6" s="1"/>
  <c r="AH7" i="6"/>
  <c r="AL7" i="6" s="1"/>
  <c r="AH8" i="6"/>
  <c r="AL8" i="6" s="1"/>
  <c r="AH9" i="6"/>
  <c r="AL9" i="6" s="1"/>
  <c r="AH10" i="6"/>
  <c r="AL10" i="6" s="1"/>
  <c r="AH11" i="6"/>
  <c r="AL11" i="6" s="1"/>
  <c r="AH12" i="6"/>
  <c r="AL12" i="6" s="1"/>
  <c r="AH13" i="6"/>
  <c r="AL13" i="6" s="1"/>
  <c r="AH14" i="6"/>
  <c r="AL14" i="6" s="1"/>
  <c r="AH15" i="6"/>
  <c r="AL15" i="6" s="1"/>
  <c r="AH16" i="6"/>
  <c r="AL16" i="6" s="1"/>
  <c r="AH17" i="6"/>
  <c r="AL17" i="6" s="1"/>
  <c r="AH18" i="6"/>
  <c r="AL18" i="6" s="1"/>
  <c r="AH19" i="6"/>
  <c r="AL19" i="6" s="1"/>
  <c r="AH20" i="6"/>
  <c r="AL20" i="6" s="1"/>
  <c r="AH21" i="6"/>
  <c r="AL21" i="6" s="1"/>
  <c r="AH22" i="6"/>
  <c r="AL22" i="6" s="1"/>
  <c r="AH23" i="6"/>
  <c r="AL23" i="6" s="1"/>
  <c r="AH24" i="6"/>
  <c r="AL24" i="6" s="1"/>
  <c r="AH25" i="6"/>
  <c r="AL25" i="6" s="1"/>
  <c r="AH26" i="6"/>
  <c r="AL26" i="6" s="1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O6" i="6"/>
  <c r="AQ6" i="6" s="1"/>
  <c r="AO7" i="6"/>
  <c r="AQ7" i="6" s="1"/>
  <c r="AO8" i="6"/>
  <c r="AQ8" i="6" s="1"/>
  <c r="AO9" i="6"/>
  <c r="AQ9" i="6" s="1"/>
  <c r="AO10" i="6"/>
  <c r="AQ10" i="6" s="1"/>
  <c r="AO11" i="6"/>
  <c r="AQ11" i="6" s="1"/>
  <c r="AO12" i="6"/>
  <c r="AQ12" i="6" s="1"/>
  <c r="AO13" i="6"/>
  <c r="AQ13" i="6" s="1"/>
  <c r="AO14" i="6"/>
  <c r="AQ14" i="6" s="1"/>
  <c r="AO15" i="6"/>
  <c r="AQ15" i="6" s="1"/>
  <c r="AO16" i="6"/>
  <c r="AQ16" i="6" s="1"/>
  <c r="AO17" i="6"/>
  <c r="AQ17" i="6" s="1"/>
  <c r="AO18" i="6"/>
  <c r="AQ18" i="6" s="1"/>
  <c r="AO19" i="6"/>
  <c r="AQ19" i="6" s="1"/>
  <c r="AO20" i="6"/>
  <c r="AQ20" i="6" s="1"/>
  <c r="AO21" i="6"/>
  <c r="AQ21" i="6" s="1"/>
  <c r="AO22" i="6"/>
  <c r="AQ22" i="6" s="1"/>
  <c r="AO23" i="6"/>
  <c r="AQ23" i="6" s="1"/>
  <c r="AO24" i="6"/>
  <c r="AQ24" i="6" s="1"/>
  <c r="AO25" i="6"/>
  <c r="AQ25" i="6" s="1"/>
  <c r="AO26" i="6"/>
  <c r="AQ26" i="6" s="1"/>
  <c r="AS6" i="6"/>
  <c r="AU6" i="6" s="1"/>
  <c r="AS7" i="6"/>
  <c r="AU7" i="6" s="1"/>
  <c r="AS8" i="6"/>
  <c r="AU8" i="6" s="1"/>
  <c r="AS9" i="6"/>
  <c r="AU9" i="6" s="1"/>
  <c r="AS10" i="6"/>
  <c r="AU10" i="6" s="1"/>
  <c r="AS11" i="6"/>
  <c r="AU11" i="6" s="1"/>
  <c r="AS12" i="6"/>
  <c r="AU12" i="6" s="1"/>
  <c r="AS13" i="6"/>
  <c r="AU13" i="6" s="1"/>
  <c r="AS14" i="6"/>
  <c r="AU14" i="6" s="1"/>
  <c r="AS15" i="6"/>
  <c r="AU15" i="6" s="1"/>
  <c r="AS16" i="6"/>
  <c r="AU16" i="6" s="1"/>
  <c r="AS17" i="6"/>
  <c r="AU17" i="6" s="1"/>
  <c r="AS18" i="6"/>
  <c r="AU18" i="6" s="1"/>
  <c r="AS19" i="6"/>
  <c r="AU19" i="6" s="1"/>
  <c r="AS20" i="6"/>
  <c r="AU20" i="6" s="1"/>
  <c r="AS21" i="6"/>
  <c r="AU21" i="6" s="1"/>
  <c r="AS22" i="6"/>
  <c r="AU22" i="6" s="1"/>
  <c r="AS23" i="6"/>
  <c r="AU23" i="6" s="1"/>
  <c r="AS24" i="6"/>
  <c r="AU24" i="6" s="1"/>
  <c r="AS25" i="6"/>
  <c r="AU25" i="6" s="1"/>
  <c r="AS26" i="6"/>
  <c r="AU26" i="6" s="1"/>
  <c r="AW6" i="6"/>
  <c r="AY6" i="6" s="1"/>
  <c r="AW7" i="6"/>
  <c r="AY7" i="6" s="1"/>
  <c r="AW8" i="6"/>
  <c r="AY8" i="6" s="1"/>
  <c r="AW9" i="6"/>
  <c r="AY9" i="6" s="1"/>
  <c r="AW10" i="6"/>
  <c r="AY10" i="6" s="1"/>
  <c r="AW11" i="6"/>
  <c r="AY11" i="6" s="1"/>
  <c r="AW12" i="6"/>
  <c r="AY12" i="6" s="1"/>
  <c r="AW13" i="6"/>
  <c r="AY13" i="6" s="1"/>
  <c r="AW14" i="6"/>
  <c r="AY14" i="6" s="1"/>
  <c r="AW15" i="6"/>
  <c r="AY15" i="6" s="1"/>
  <c r="AW16" i="6"/>
  <c r="AY16" i="6" s="1"/>
  <c r="AW17" i="6"/>
  <c r="AY17" i="6" s="1"/>
  <c r="AW18" i="6"/>
  <c r="AY18" i="6" s="1"/>
  <c r="AW19" i="6"/>
  <c r="AY19" i="6" s="1"/>
  <c r="AW20" i="6"/>
  <c r="AY20" i="6" s="1"/>
  <c r="AW21" i="6"/>
  <c r="AY21" i="6" s="1"/>
  <c r="AW22" i="6"/>
  <c r="AY22" i="6" s="1"/>
  <c r="AW23" i="6"/>
  <c r="AY23" i="6" s="1"/>
  <c r="AW24" i="6"/>
  <c r="AY24" i="6" s="1"/>
  <c r="AW25" i="6"/>
  <c r="AY25" i="6" s="1"/>
  <c r="AW26" i="6"/>
  <c r="AY26" i="6" s="1"/>
  <c r="BA6" i="6"/>
  <c r="BC6" i="6" s="1"/>
  <c r="BA7" i="6"/>
  <c r="BC7" i="6" s="1"/>
  <c r="BA8" i="6"/>
  <c r="BC8" i="6" s="1"/>
  <c r="BA9" i="6"/>
  <c r="BC9" i="6" s="1"/>
  <c r="BA10" i="6"/>
  <c r="BC10" i="6" s="1"/>
  <c r="BA11" i="6"/>
  <c r="BC11" i="6" s="1"/>
  <c r="BA12" i="6"/>
  <c r="BC12" i="6" s="1"/>
  <c r="BA13" i="6"/>
  <c r="BC13" i="6" s="1"/>
  <c r="BA14" i="6"/>
  <c r="BC14" i="6" s="1"/>
  <c r="BA15" i="6"/>
  <c r="BC15" i="6" s="1"/>
  <c r="BA16" i="6"/>
  <c r="BC16" i="6" s="1"/>
  <c r="BA17" i="6"/>
  <c r="BC17" i="6" s="1"/>
  <c r="BA18" i="6"/>
  <c r="BC18" i="6" s="1"/>
  <c r="BA19" i="6"/>
  <c r="BC19" i="6" s="1"/>
  <c r="BA20" i="6"/>
  <c r="BC20" i="6" s="1"/>
  <c r="BA21" i="6"/>
  <c r="BC21" i="6" s="1"/>
  <c r="BA22" i="6"/>
  <c r="BC22" i="6" s="1"/>
  <c r="BA23" i="6"/>
  <c r="BC23" i="6" s="1"/>
  <c r="BA24" i="6"/>
  <c r="BC24" i="6" s="1"/>
  <c r="BA25" i="6"/>
  <c r="BC25" i="6" s="1"/>
  <c r="BA26" i="6"/>
  <c r="BC26" i="6" s="1"/>
  <c r="BA3" i="6"/>
  <c r="BC3" i="6" s="1"/>
  <c r="BA4" i="6"/>
  <c r="BC4" i="6" s="1"/>
  <c r="BA5" i="6"/>
  <c r="BC5" i="6" s="1"/>
  <c r="AW3" i="6"/>
  <c r="AY3" i="6" s="1"/>
  <c r="AW4" i="6"/>
  <c r="AY4" i="6" s="1"/>
  <c r="AW5" i="6"/>
  <c r="AY5" i="6" s="1"/>
  <c r="AS3" i="6"/>
  <c r="AU3" i="6" s="1"/>
  <c r="AS4" i="6"/>
  <c r="AU4" i="6" s="1"/>
  <c r="AS5" i="6"/>
  <c r="AU5" i="6" s="1"/>
  <c r="F5" i="6"/>
  <c r="J5" i="6" s="1"/>
  <c r="K5" i="6" s="1"/>
  <c r="M5" i="6"/>
  <c r="Q5" i="6" s="1"/>
  <c r="R5" i="6"/>
  <c r="T5" i="6"/>
  <c r="X5" i="6" s="1"/>
  <c r="Y5" i="6"/>
  <c r="AA5" i="6"/>
  <c r="AE5" i="6" s="1"/>
  <c r="AF5" i="6"/>
  <c r="AH5" i="6"/>
  <c r="AL5" i="6" s="1"/>
  <c r="AM5" i="6"/>
  <c r="AO5" i="6"/>
  <c r="AQ5" i="6" s="1"/>
  <c r="F4" i="6"/>
  <c r="J4" i="6" s="1"/>
  <c r="K4" i="6" s="1"/>
  <c r="M4" i="6"/>
  <c r="Q4" i="6" s="1"/>
  <c r="R4" i="6" s="1"/>
  <c r="T4" i="6"/>
  <c r="X4" i="6" s="1"/>
  <c r="Y4" i="6" s="1"/>
  <c r="AA4" i="6"/>
  <c r="AE4" i="6" s="1"/>
  <c r="AF4" i="6"/>
  <c r="AH4" i="6"/>
  <c r="AL4" i="6" s="1"/>
  <c r="AM4" i="6"/>
  <c r="AO4" i="6"/>
  <c r="AQ4" i="6" s="1"/>
  <c r="AO3" i="6"/>
  <c r="AQ3" i="6" s="1"/>
  <c r="M3" i="6"/>
  <c r="Q3" i="6" s="1"/>
  <c r="R3" i="6" s="1"/>
  <c r="T3" i="6"/>
  <c r="X3" i="6" s="1"/>
  <c r="Y3" i="6" s="1"/>
  <c r="AA3" i="6"/>
  <c r="AE3" i="6" s="1"/>
  <c r="AF3" i="6" s="1"/>
  <c r="AH3" i="6"/>
  <c r="AL3" i="6" s="1"/>
  <c r="AM3" i="6" s="1"/>
  <c r="F3" i="6"/>
  <c r="J3" i="6" s="1"/>
  <c r="K3" i="6" s="1"/>
  <c r="Q31" i="4"/>
  <c r="Q26" i="3"/>
  <c r="Q25" i="3"/>
  <c r="Q27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25" i="3"/>
  <c r="M25" i="3" s="1"/>
  <c r="M50" i="3" s="1"/>
  <c r="U12" i="3"/>
  <c r="U14" i="3" s="1"/>
  <c r="H66" i="3"/>
  <c r="S12" i="3"/>
  <c r="S14" i="3" s="1"/>
  <c r="Q12" i="3"/>
  <c r="Q14" i="3" s="1"/>
  <c r="O12" i="3"/>
  <c r="O14" i="3" s="1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H56" i="3"/>
  <c r="BJ3" i="6" l="1"/>
  <c r="BJ9" i="6"/>
  <c r="BJ15" i="6"/>
  <c r="BJ21" i="6"/>
  <c r="L31" i="4"/>
  <c r="BJ4" i="6"/>
  <c r="BJ10" i="6"/>
  <c r="BJ16" i="6"/>
  <c r="BJ22" i="6"/>
  <c r="BJ5" i="6"/>
  <c r="BJ11" i="6"/>
  <c r="BJ17" i="6"/>
  <c r="BJ23" i="6"/>
  <c r="BJ6" i="6"/>
  <c r="BJ12" i="6"/>
  <c r="BJ18" i="6"/>
  <c r="BJ24" i="6"/>
  <c r="BJ7" i="6"/>
  <c r="BJ13" i="6"/>
  <c r="BJ19" i="6"/>
  <c r="BJ25" i="6"/>
  <c r="BJ8" i="6"/>
  <c r="BJ14" i="6"/>
  <c r="BJ20" i="6"/>
  <c r="BJ26" i="6"/>
  <c r="L50" i="3"/>
  <c r="BH25" i="6"/>
  <c r="BH3" i="6"/>
  <c r="BL3" i="6" s="1"/>
  <c r="BH24" i="6"/>
  <c r="BL24" i="6" s="1"/>
  <c r="BH12" i="6"/>
  <c r="BL12" i="6" s="1"/>
  <c r="BH13" i="6"/>
  <c r="BL13" i="6" s="1"/>
  <c r="BH17" i="6"/>
  <c r="BH23" i="6"/>
  <c r="BL23" i="6" s="1"/>
  <c r="BH11" i="6"/>
  <c r="BH22" i="6"/>
  <c r="BL22" i="6" s="1"/>
  <c r="BH10" i="6"/>
  <c r="BL10" i="6" s="1"/>
  <c r="BH21" i="6"/>
  <c r="BL21" i="6" s="1"/>
  <c r="BH9" i="6"/>
  <c r="BL9" i="6" s="1"/>
  <c r="BH20" i="6"/>
  <c r="BH8" i="6"/>
  <c r="BH19" i="6"/>
  <c r="BH7" i="6"/>
  <c r="BL7" i="6" s="1"/>
  <c r="BH5" i="6"/>
  <c r="BH18" i="6"/>
  <c r="BL18" i="6" s="1"/>
  <c r="BH6" i="6"/>
  <c r="BL6" i="6" s="1"/>
  <c r="BH16" i="6"/>
  <c r="BL16" i="6" s="1"/>
  <c r="BH15" i="6"/>
  <c r="BL15" i="6" s="1"/>
  <c r="BH26" i="6"/>
  <c r="BL26" i="6" s="1"/>
  <c r="BH14" i="6"/>
  <c r="BH4" i="6"/>
  <c r="BL4" i="6" s="1"/>
  <c r="L16" i="4"/>
  <c r="N16" i="4" s="1"/>
  <c r="L17" i="4"/>
  <c r="N17" i="4" s="1"/>
  <c r="L18" i="4"/>
  <c r="N18" i="4" s="1"/>
  <c r="L19" i="4"/>
  <c r="N19" i="4" s="1"/>
  <c r="L20" i="4"/>
  <c r="N20" i="4" s="1"/>
  <c r="L21" i="4"/>
  <c r="N21" i="4" s="1"/>
  <c r="L22" i="4"/>
  <c r="N22" i="4" s="1"/>
  <c r="L13" i="4"/>
  <c r="N13" i="4" s="1"/>
  <c r="L14" i="4"/>
  <c r="N14" i="4" s="1"/>
  <c r="L15" i="4"/>
  <c r="N15" i="4" s="1"/>
  <c r="L23" i="4"/>
  <c r="N23" i="4" s="1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7" i="3"/>
  <c r="B58" i="3"/>
  <c r="B59" i="3"/>
  <c r="B60" i="3"/>
  <c r="B61" i="3"/>
  <c r="B62" i="3"/>
  <c r="B63" i="3"/>
  <c r="B64" i="3"/>
  <c r="B65" i="3"/>
  <c r="B14" i="3"/>
  <c r="M12" i="3"/>
  <c r="M14" i="3" s="1"/>
  <c r="K12" i="3"/>
  <c r="K14" i="3" s="1"/>
  <c r="H65" i="3"/>
  <c r="H64" i="3"/>
  <c r="H63" i="3"/>
  <c r="H62" i="3"/>
  <c r="H61" i="3"/>
  <c r="H60" i="3"/>
  <c r="H59" i="3"/>
  <c r="H58" i="3"/>
  <c r="L9" i="4" s="1"/>
  <c r="N9" i="4" s="1"/>
  <c r="H57" i="3"/>
  <c r="L12" i="4" s="1"/>
  <c r="N12" i="4" s="1"/>
  <c r="H16" i="3"/>
  <c r="H15" i="3"/>
  <c r="H55" i="3"/>
  <c r="H54" i="3"/>
  <c r="H53" i="3"/>
  <c r="L10" i="4" s="1"/>
  <c r="N10" i="4" s="1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6" i="3"/>
  <c r="H37" i="3"/>
  <c r="L8" i="4" s="1"/>
  <c r="N8" i="4" s="1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4" i="3"/>
  <c r="L6" i="4" s="1"/>
  <c r="N6" i="4" s="1"/>
  <c r="BL17" i="6" l="1"/>
  <c r="BL5" i="6"/>
  <c r="BL11" i="6"/>
  <c r="BL19" i="6"/>
  <c r="BL8" i="6"/>
  <c r="BL20" i="6"/>
  <c r="BL25" i="6"/>
  <c r="BL14" i="6"/>
  <c r="K9" i="4"/>
  <c r="Q9" i="4" s="1"/>
  <c r="K10" i="4"/>
  <c r="Q10" i="4" s="1"/>
  <c r="K22" i="4"/>
  <c r="Q22" i="4" s="1"/>
  <c r="K8" i="4"/>
  <c r="Q8" i="4" s="1"/>
  <c r="K11" i="4"/>
  <c r="Q11" i="4" s="1"/>
  <c r="K12" i="4"/>
  <c r="Q12" i="4" s="1"/>
  <c r="K13" i="4"/>
  <c r="Q13" i="4" s="1"/>
  <c r="K14" i="4"/>
  <c r="Q14" i="4" s="1"/>
  <c r="K15" i="4"/>
  <c r="Q15" i="4" s="1"/>
  <c r="K16" i="4"/>
  <c r="Q16" i="4" s="1"/>
  <c r="K17" i="4"/>
  <c r="Q17" i="4" s="1"/>
  <c r="K18" i="4"/>
  <c r="Q18" i="4" s="1"/>
  <c r="K19" i="4"/>
  <c r="Q19" i="4" s="1"/>
  <c r="K20" i="4"/>
  <c r="Q20" i="4" s="1"/>
  <c r="K21" i="4"/>
  <c r="Q21" i="4" s="1"/>
  <c r="K23" i="4"/>
  <c r="Q23" i="4" s="1"/>
  <c r="K6" i="4"/>
  <c r="Q6" i="4" s="1"/>
  <c r="K7" i="4"/>
  <c r="Q7" i="4" s="1"/>
  <c r="L11" i="4"/>
  <c r="N11" i="4" s="1"/>
  <c r="L7" i="4"/>
  <c r="N7" i="4" s="1"/>
  <c r="R8" i="4" l="1"/>
  <c r="R9" i="4"/>
  <c r="R11" i="4"/>
  <c r="R7" i="4"/>
  <c r="N24" i="4"/>
  <c r="R14" i="4"/>
  <c r="R16" i="4"/>
  <c r="R22" i="4"/>
  <c r="R23" i="4"/>
  <c r="R18" i="4"/>
  <c r="R17" i="4"/>
  <c r="R15" i="4"/>
  <c r="R20" i="4"/>
  <c r="R12" i="4"/>
  <c r="R13" i="4"/>
  <c r="R19" i="4"/>
  <c r="R21" i="4"/>
  <c r="R6" i="4"/>
  <c r="R10" i="4"/>
  <c r="Q24" i="4" l="1"/>
  <c r="R24" i="4"/>
  <c r="J31" i="4" l="1"/>
  <c r="N31" i="4" s="1"/>
  <c r="P41" i="4" l="1"/>
  <c r="Q41" i="4" s="1"/>
  <c r="M41" i="4"/>
  <c r="L41" i="4"/>
</calcChain>
</file>

<file path=xl/sharedStrings.xml><?xml version="1.0" encoding="utf-8"?>
<sst xmlns="http://schemas.openxmlformats.org/spreadsheetml/2006/main" count="310" uniqueCount="145">
  <si>
    <t>PAPEL</t>
  </si>
  <si>
    <t>Tipo de insumo</t>
  </si>
  <si>
    <t>Nombre insumo</t>
  </si>
  <si>
    <t>Cant. Bulto</t>
  </si>
  <si>
    <t>Pr. Unidad</t>
  </si>
  <si>
    <t>Proveedor</t>
  </si>
  <si>
    <t>EYPAPEL!</t>
  </si>
  <si>
    <t>EPSON L4260</t>
  </si>
  <si>
    <t>Color</t>
  </si>
  <si>
    <t>Precio</t>
  </si>
  <si>
    <t>BROTHER T420W</t>
  </si>
  <si>
    <t>Valor por hoja</t>
  </si>
  <si>
    <t>Total</t>
  </si>
  <si>
    <t>Por día</t>
  </si>
  <si>
    <t>Valor con desgaste</t>
  </si>
  <si>
    <t>Impresora</t>
  </si>
  <si>
    <t>Calculadora</t>
  </si>
  <si>
    <t>Insumos</t>
  </si>
  <si>
    <t>Costo insumo</t>
  </si>
  <si>
    <t>Cantidad</t>
  </si>
  <si>
    <t>Total costo insumo</t>
  </si>
  <si>
    <t>Costo impresión</t>
  </si>
  <si>
    <t>Total insumo + impresión</t>
  </si>
  <si>
    <t>Costo final</t>
  </si>
  <si>
    <t>Cantidad de horas</t>
  </si>
  <si>
    <t>Porcentaje de ganancia</t>
  </si>
  <si>
    <t>Precio sugerido</t>
  </si>
  <si>
    <t>Doble faz</t>
  </si>
  <si>
    <t>SI</t>
  </si>
  <si>
    <t>NO</t>
  </si>
  <si>
    <t>Ganancia en pesos</t>
  </si>
  <si>
    <t>Mano de obra</t>
  </si>
  <si>
    <t>Minutos</t>
  </si>
  <si>
    <t>Rollo laminado mate metro</t>
  </si>
  <si>
    <t>Tabla de insumos</t>
  </si>
  <si>
    <t>Pr. costo bulto</t>
  </si>
  <si>
    <t>Boreal Obra 80gr</t>
  </si>
  <si>
    <t>Tabla de costos</t>
  </si>
  <si>
    <t>Organiza los costos de tus insumos, nombres de proveedores y cantidades ❤</t>
  </si>
  <si>
    <t>EPSON L1250</t>
  </si>
  <si>
    <t>EPSON L1250 SUBLIMACION</t>
  </si>
  <si>
    <t>Negro</t>
  </si>
  <si>
    <t>Cantidad impresa</t>
  </si>
  <si>
    <t>(*)</t>
  </si>
  <si>
    <t>Tabla de costo de tintas</t>
  </si>
  <si>
    <t>Tipo de costo</t>
  </si>
  <si>
    <t>Valor mensual</t>
  </si>
  <si>
    <t>Los costos fijos mensuales organizados ❤</t>
  </si>
  <si>
    <t>Por modelo de impresora ❤</t>
  </si>
  <si>
    <t>Por hora (*)</t>
  </si>
  <si>
    <t>(*) Calculado en base a 10 horas de trabajo</t>
  </si>
  <si>
    <t>-</t>
  </si>
  <si>
    <t>Calcula el valor de cualquier presupuesto o producto teniendo en cuenta todos los costos ❤</t>
  </si>
  <si>
    <t>HP M1111W</t>
  </si>
  <si>
    <t>(*) El total no incluye gastos fijos, ni hora de mano de obra, solo costo de insumos.</t>
  </si>
  <si>
    <t>Costo sin servicios</t>
  </si>
  <si>
    <t>Costo sevicios</t>
  </si>
  <si>
    <t>Valorá tu tiempo y tu trabajo ❤</t>
  </si>
  <si>
    <t xml:space="preserve">Valor por hora </t>
  </si>
  <si>
    <t>Valor por semana</t>
  </si>
  <si>
    <t>Valor por mes</t>
  </si>
  <si>
    <t>(*) Calculado en base a 10 horas de trabajo 5 dias a la semana</t>
  </si>
  <si>
    <t>Valor por dia</t>
  </si>
  <si>
    <t>Precio final</t>
  </si>
  <si>
    <t>Precio publicado</t>
  </si>
  <si>
    <t>¿Cuanto porcentaje de ganancia tengo? ❤</t>
  </si>
  <si>
    <t>¿A cuanto debo venderlo? ❤</t>
  </si>
  <si>
    <t>Calculadora de horas</t>
  </si>
  <si>
    <t>Porcentaje horario</t>
  </si>
  <si>
    <t>SKU</t>
  </si>
  <si>
    <t>Nombre producto</t>
  </si>
  <si>
    <t>RUBRO</t>
  </si>
  <si>
    <t>SUBRUBRO</t>
  </si>
  <si>
    <t>Papel 1</t>
  </si>
  <si>
    <t>Cantidad 1</t>
  </si>
  <si>
    <t>Papel 2</t>
  </si>
  <si>
    <t>Cantidad 2</t>
  </si>
  <si>
    <t>Costo impresión 2</t>
  </si>
  <si>
    <t>Papel 3</t>
  </si>
  <si>
    <t>Cantidad 3</t>
  </si>
  <si>
    <t>Costo impresión 3</t>
  </si>
  <si>
    <t>Papel 4</t>
  </si>
  <si>
    <t>Cantidad 4</t>
  </si>
  <si>
    <t>Costo impresión 4</t>
  </si>
  <si>
    <t>Subtotal impresión 1</t>
  </si>
  <si>
    <t>Subtotal impresión 2</t>
  </si>
  <si>
    <t>Subtotal impresión 3</t>
  </si>
  <si>
    <t>Subtotal impresión 4</t>
  </si>
  <si>
    <t>Papel 5</t>
  </si>
  <si>
    <t>Cantidad 5</t>
  </si>
  <si>
    <t>Costo impresión 5</t>
  </si>
  <si>
    <t>Subtotal impresión 5</t>
  </si>
  <si>
    <t>Costo impresión 1</t>
  </si>
  <si>
    <t>Costo papel 1</t>
  </si>
  <si>
    <t>Costo papel 2</t>
  </si>
  <si>
    <t>Costo papel 3</t>
  </si>
  <si>
    <t>Costo papel 4</t>
  </si>
  <si>
    <t>Costo papel 5</t>
  </si>
  <si>
    <t>Impresora 2</t>
  </si>
  <si>
    <t>Doble faz 1</t>
  </si>
  <si>
    <t>Impresora 1</t>
  </si>
  <si>
    <t>Doble faz 2</t>
  </si>
  <si>
    <t>Doble faz 3</t>
  </si>
  <si>
    <t>Impresora 3</t>
  </si>
  <si>
    <t>Doble faz 4</t>
  </si>
  <si>
    <t>Impresora 4</t>
  </si>
  <si>
    <t>Doble faz 5</t>
  </si>
  <si>
    <t>Impresora 5</t>
  </si>
  <si>
    <t>Insumo 1</t>
  </si>
  <si>
    <t>Costo insumo 1</t>
  </si>
  <si>
    <t>Subtotal insumos 1</t>
  </si>
  <si>
    <t>Cantidad insumo 1</t>
  </si>
  <si>
    <t>Costo insumo 2</t>
  </si>
  <si>
    <t>Cantidad insumo 2</t>
  </si>
  <si>
    <t>Subtotal insumos 2</t>
  </si>
  <si>
    <t>Costo insumo 3</t>
  </si>
  <si>
    <t>Cantidad insumo 3</t>
  </si>
  <si>
    <t>Subtotal insumos 3</t>
  </si>
  <si>
    <t>Costo insumo 4</t>
  </si>
  <si>
    <t>Cantidad insumo 4</t>
  </si>
  <si>
    <t>Insumo 2</t>
  </si>
  <si>
    <t>Subtotal insumos 4</t>
  </si>
  <si>
    <t>Subtotal insumos 5</t>
  </si>
  <si>
    <t>Insumo 3</t>
  </si>
  <si>
    <t>Insumo 4</t>
  </si>
  <si>
    <t>Insumo 5</t>
  </si>
  <si>
    <t>Costo insumo 5</t>
  </si>
  <si>
    <t>Cantidad insumo 5</t>
  </si>
  <si>
    <t>COSTOS DE PAPELES E IMPRESIÓN</t>
  </si>
  <si>
    <t>COSTO INSUMOS</t>
  </si>
  <si>
    <t>Costo servicios</t>
  </si>
  <si>
    <t>PRODUCTO</t>
  </si>
  <si>
    <t>(en blanco)</t>
  </si>
  <si>
    <t>Ganancia</t>
  </si>
  <si>
    <t>Costo mano de obra</t>
  </si>
  <si>
    <t>Costo total</t>
  </si>
  <si>
    <t>Porcentaje</t>
  </si>
  <si>
    <t>Precio venta</t>
  </si>
  <si>
    <t>Tabla de costos y precios</t>
  </si>
  <si>
    <t>Por rubro y subrubro ❤</t>
  </si>
  <si>
    <t>Nombre impresora</t>
  </si>
  <si>
    <t>Nombre Impresora</t>
  </si>
  <si>
    <t xml:space="preserve">Magenta </t>
  </si>
  <si>
    <t xml:space="preserve">Cyan </t>
  </si>
  <si>
    <t xml:space="preserve">Amarillo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</si>
</sst>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&quot;$&quot;\ #,##0"/>
  </numFmts>
  <fonts count="2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2" tint="-0.499984740745262"/>
      <name val="Dreaming Outloud Script Pro"/>
      <family val="4"/>
    </font>
    <font>
      <sz val="18"/>
      <color rgb="FFE85234"/>
      <name val="Georgia Pro Black"/>
      <family val="1"/>
    </font>
    <font>
      <sz val="11"/>
      <color rgb="FFE85234"/>
      <name val="Calibri Light"/>
      <family val="2"/>
      <scheme val="major"/>
    </font>
    <font>
      <sz val="11"/>
      <color rgb="FFE85234"/>
      <name val="Elephant"/>
      <family val="1"/>
    </font>
    <font>
      <sz val="11"/>
      <color rgb="FFE85234"/>
      <name val="Calibri"/>
      <family val="2"/>
      <scheme val="minor"/>
    </font>
    <font>
      <b/>
      <sz val="18"/>
      <color rgb="FFE85234"/>
      <name val="Georgia Pro Black"/>
      <family val="1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6ADD6"/>
      <name val="Calibri"/>
      <family val="2"/>
      <scheme val="minor"/>
    </font>
    <font>
      <b/>
      <sz val="18"/>
      <color rgb="FFE8E4C8"/>
      <name val="Georgia Pro Black"/>
      <family val="1"/>
    </font>
    <font>
      <sz val="11"/>
      <color rgb="FFE8E4C8"/>
      <name val="Calibri Light"/>
      <family val="2"/>
      <scheme val="major"/>
    </font>
    <font>
      <sz val="11"/>
      <color rgb="FFE8E4C8"/>
      <name val="Calibri"/>
      <family val="2"/>
      <scheme val="minor"/>
    </font>
    <font>
      <b/>
      <sz val="11"/>
      <color rgb="FFE8E4C8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7" tint="0.79998168889431442"/>
      <name val="Calibri"/>
      <family val="2"/>
      <scheme val="minor"/>
    </font>
    <font>
      <b/>
      <sz val="16"/>
      <color rgb="FFFFFFCC"/>
      <name val="Calibri"/>
      <family val="2"/>
      <scheme val="minor"/>
    </font>
    <font>
      <b/>
      <sz val="18"/>
      <color theme="4" tint="0.79998168889431442"/>
      <name val="Georgia Pro Black"/>
      <family val="1"/>
    </font>
    <font>
      <sz val="11"/>
      <color theme="4" tint="0.79998168889431442"/>
      <name val="Calibri Light"/>
      <family val="2"/>
      <scheme val="major"/>
    </font>
    <font>
      <b/>
      <sz val="11"/>
      <color theme="4" tint="0.79998168889431442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B8AF"/>
        <bgColor indexed="64"/>
      </patternFill>
    </fill>
    <fill>
      <patternFill patternType="solid">
        <fgColor rgb="FFE8E4C8"/>
        <bgColor indexed="64"/>
      </patternFill>
    </fill>
    <fill>
      <patternFill patternType="solid">
        <fgColor rgb="FF96ADD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7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164" fontId="0" fillId="2" borderId="0" xfId="0" applyNumberFormat="1" applyFill="1"/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10" fillId="0" borderId="0" xfId="0" applyFont="1"/>
    <xf numFmtId="0" fontId="4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4" fillId="3" borderId="0" xfId="0" applyFont="1" applyFill="1"/>
    <xf numFmtId="0" fontId="10" fillId="3" borderId="4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165" fontId="10" fillId="3" borderId="13" xfId="0" applyNumberFormat="1" applyFont="1" applyFill="1" applyBorder="1" applyAlignment="1">
      <alignment horizontal="center" vertical="center"/>
    </xf>
    <xf numFmtId="165" fontId="10" fillId="3" borderId="2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2" fillId="3" borderId="0" xfId="0" applyFont="1" applyFill="1" applyAlignment="1">
      <alignment horizontal="left" vertical="center"/>
    </xf>
    <xf numFmtId="164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7" fillId="2" borderId="0" xfId="0" applyFont="1" applyFill="1"/>
    <xf numFmtId="0" fontId="10" fillId="3" borderId="1" xfId="0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7" fillId="2" borderId="8" xfId="0" applyFont="1" applyFill="1" applyBorder="1"/>
    <xf numFmtId="0" fontId="7" fillId="2" borderId="5" xfId="0" applyFont="1" applyFill="1" applyBorder="1"/>
    <xf numFmtId="0" fontId="7" fillId="2" borderId="10" xfId="0" applyFont="1" applyFill="1" applyBorder="1"/>
    <xf numFmtId="0" fontId="8" fillId="2" borderId="0" xfId="0" applyFont="1" applyFill="1" applyAlignment="1">
      <alignment vertical="top"/>
    </xf>
    <xf numFmtId="0" fontId="8" fillId="2" borderId="10" xfId="0" applyFont="1" applyFill="1" applyBorder="1" applyAlignment="1">
      <alignment vertical="top"/>
    </xf>
    <xf numFmtId="0" fontId="8" fillId="2" borderId="7" xfId="0" applyFont="1" applyFill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3" fillId="0" borderId="0" xfId="0" applyFon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14" fillId="0" borderId="0" xfId="0" applyFont="1"/>
    <xf numFmtId="0" fontId="17" fillId="5" borderId="0" xfId="0" applyFont="1" applyFill="1" applyAlignment="1">
      <alignment horizontal="center" vertical="center"/>
    </xf>
    <xf numFmtId="4" fontId="17" fillId="5" borderId="0" xfId="0" applyNumberFormat="1" applyFont="1" applyFill="1" applyAlignment="1">
      <alignment horizontal="center" vertical="center"/>
    </xf>
    <xf numFmtId="164" fontId="17" fillId="5" borderId="0" xfId="0" applyNumberFormat="1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4" fontId="18" fillId="5" borderId="0" xfId="0" applyNumberFormat="1" applyFont="1" applyFill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164" fontId="10" fillId="3" borderId="0" xfId="0" applyNumberFormat="1" applyFont="1" applyFill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65" fontId="10" fillId="0" borderId="0" xfId="0" applyNumberFormat="1" applyFont="1" applyAlignment="1">
      <alignment horizontal="right"/>
    </xf>
    <xf numFmtId="0" fontId="10" fillId="2" borderId="3" xfId="0" applyFont="1" applyFill="1" applyBorder="1"/>
    <xf numFmtId="164" fontId="5" fillId="4" borderId="0" xfId="0" applyNumberFormat="1" applyFont="1" applyFill="1" applyAlignment="1">
      <alignment horizontal="center"/>
    </xf>
    <xf numFmtId="164" fontId="12" fillId="5" borderId="0" xfId="0" applyNumberFormat="1" applyFont="1" applyFill="1" applyAlignment="1">
      <alignment horizontal="center" vertical="center"/>
    </xf>
    <xf numFmtId="164" fontId="14" fillId="0" borderId="0" xfId="0" applyNumberFormat="1" applyFont="1" applyAlignment="1">
      <alignment horizontal="center"/>
    </xf>
    <xf numFmtId="0" fontId="14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164" fontId="10" fillId="0" borderId="4" xfId="2" applyNumberFormat="1" applyFont="1" applyBorder="1" applyAlignment="1"/>
    <xf numFmtId="164" fontId="10" fillId="0" borderId="2" xfId="2" applyNumberFormat="1" applyFont="1" applyBorder="1" applyAlignment="1"/>
    <xf numFmtId="0" fontId="0" fillId="0" borderId="8" xfId="0" applyBorder="1"/>
    <xf numFmtId="164" fontId="16" fillId="5" borderId="0" xfId="0" applyNumberFormat="1" applyFont="1" applyFill="1" applyAlignment="1">
      <alignment horizontal="center" vertical="center"/>
    </xf>
    <xf numFmtId="4" fontId="16" fillId="5" borderId="0" xfId="0" applyNumberFormat="1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9" fontId="14" fillId="0" borderId="0" xfId="1" applyFon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7" borderId="15" xfId="2" applyNumberFormat="1" applyFont="1" applyFill="1" applyBorder="1" applyAlignment="1">
      <alignment horizontal="center" vertical="center"/>
    </xf>
    <xf numFmtId="164" fontId="0" fillId="0" borderId="0" xfId="2" applyNumberFormat="1" applyFont="1"/>
    <xf numFmtId="164" fontId="0" fillId="7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0" fontId="4" fillId="0" borderId="0" xfId="0" applyFont="1"/>
    <xf numFmtId="164" fontId="0" fillId="8" borderId="0" xfId="0" applyNumberForma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164" fontId="1" fillId="6" borderId="0" xfId="2" applyNumberFormat="1" applyFont="1" applyFill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0" fillId="0" borderId="0" xfId="1" applyFont="1" applyAlignment="1">
      <alignment horizontal="center"/>
    </xf>
    <xf numFmtId="0" fontId="0" fillId="0" borderId="0" xfId="0" pivotButton="1" applyAlignment="1">
      <alignment horizontal="center" vertical="center"/>
    </xf>
    <xf numFmtId="164" fontId="1" fillId="9" borderId="0" xfId="0" applyNumberFormat="1" applyFont="1" applyFill="1" applyAlignment="1">
      <alignment horizontal="center" vertical="center"/>
    </xf>
    <xf numFmtId="9" fontId="1" fillId="9" borderId="0" xfId="1" applyFont="1" applyFill="1" applyAlignment="1">
      <alignment horizontal="center" vertical="center"/>
    </xf>
    <xf numFmtId="9" fontId="25" fillId="0" borderId="0" xfId="1" applyFont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9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 vertical="top"/>
    </xf>
    <xf numFmtId="0" fontId="8" fillId="3" borderId="11" xfId="0" applyFont="1" applyFill="1" applyBorder="1" applyAlignment="1">
      <alignment horizontal="center" vertical="top"/>
    </xf>
    <xf numFmtId="0" fontId="8" fillId="3" borderId="7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top"/>
    </xf>
    <xf numFmtId="0" fontId="15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 vertical="top"/>
    </xf>
    <xf numFmtId="164" fontId="15" fillId="5" borderId="0" xfId="0" applyNumberFormat="1" applyFont="1" applyFill="1" applyAlignment="1">
      <alignment horizontal="center"/>
    </xf>
    <xf numFmtId="164" fontId="16" fillId="5" borderId="0" xfId="0" applyNumberFormat="1" applyFont="1" applyFill="1" applyAlignment="1">
      <alignment horizontal="center" vertical="top"/>
    </xf>
    <xf numFmtId="0" fontId="20" fillId="6" borderId="0" xfId="0" applyFont="1" applyFill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15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23" fillId="9" borderId="0" xfId="0" applyFont="1" applyFill="1" applyAlignment="1">
      <alignment horizontal="center" vertical="top"/>
    </xf>
    <xf numFmtId="164" fontId="0" fillId="7" borderId="6" xfId="0" applyNumberFormat="1" applyFill="1" applyBorder="1"/>
    <xf numFmtId="164" fontId="0" fillId="7" borderId="9" xfId="0" applyNumberFormat="1" applyFill="1" applyBorder="1"/>
    <xf numFmtId="165" fontId="5" fillId="7" borderId="0" xfId="0" applyNumberFormat="1" applyFont="1" applyFill="1" applyAlignment="1">
      <alignment horizontal="center"/>
    </xf>
    <xf numFmtId="164" fontId="0" fillId="7" borderId="0" xfId="0" applyNumberFormat="1" applyFill="1"/>
    <xf numFmtId="164" fontId="0" fillId="7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2" fontId="5" fillId="4" borderId="0" xfId="0" applyNumberFormat="1" applyFont="1" applyFill="1" applyAlignment="1">
      <alignment horizontal="center"/>
    </xf>
    <xf numFmtId="9" fontId="5" fillId="4" borderId="0" xfId="1" applyFont="1" applyFill="1" applyAlignment="1">
      <alignment horizontal="center"/>
    </xf>
    <xf numFmtId="164" fontId="24" fillId="0" borderId="0" xfId="0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</cellXfs>
  <cellStyles count="3">
    <cellStyle name="Moneda" xfId="2" builtinId="4"/>
    <cellStyle name="Normal" xfId="0" builtinId="0"/>
    <cellStyle name="Porcentaje" xfId="1" builtinId="5"/>
  </cellStyles>
  <dxfs count="159"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rgb="FF96AD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rgb="FF96AD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rgb="FF96AD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rgb="FF96AD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rgb="FF96AD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E8E4C8"/>
        <name val="Calibri"/>
        <family val="2"/>
        <scheme val="minor"/>
      </font>
      <fill>
        <patternFill patternType="solid">
          <fgColor indexed="64"/>
          <bgColor rgb="FF96AD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E8E4C8"/>
        <name val="Calibri"/>
        <family val="2"/>
        <scheme val="minor"/>
      </font>
      <numFmt numFmtId="4" formatCode="#,##0.00"/>
      <fill>
        <patternFill patternType="solid">
          <fgColor indexed="64"/>
          <bgColor rgb="FF96AD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E8E4C8"/>
        <name val="Calibri"/>
        <family val="2"/>
        <scheme val="minor"/>
      </font>
      <fill>
        <patternFill patternType="solid">
          <fgColor indexed="64"/>
          <bgColor rgb="FF96AD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E8E4C8"/>
        <name val="Calibri"/>
        <family val="2"/>
        <scheme val="minor"/>
      </font>
      <fill>
        <patternFill patternType="solid">
          <fgColor indexed="64"/>
          <bgColor rgb="FF96ADD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$&quot;\ #,##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E85234"/>
        <name val="Calibri"/>
        <family val="2"/>
        <scheme val="minor"/>
      </font>
      <numFmt numFmtId="165" formatCode="&quot;$&quot;\ #,##0"/>
      <alignment horizontal="righ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$&quot;\ #,##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E8E4C8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rgb="FFE8E4C8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rgb="FFE8E4C8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  <right/>
      </border>
    </dxf>
    <dxf>
      <numFmt numFmtId="164" formatCode="&quot;$&quot;\ #,##0.00"/>
      <fill>
        <patternFill patternType="solid">
          <fgColor indexed="64"/>
          <bgColor rgb="FFE8E4C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rgb="FFE8E4C8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rgb="FFE8E4C8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rgb="FFE8E4C8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rgb="FFE8E4C8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rgb="FFE8E4C8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rgb="FFE8E4C8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rgb="FFE8E4C8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&quot;$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rgb="FFE8E4C8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rgb="FFE8E4C8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96ADD6"/>
        <name val="Calibri"/>
        <family val="2"/>
        <scheme val="minor"/>
      </font>
      <numFmt numFmtId="164" formatCode="&quot;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96ADD6"/>
        <name val="Calibri"/>
        <family val="2"/>
        <scheme val="minor"/>
      </font>
      <numFmt numFmtId="164" formatCode="&quot;$&quot;\ #,##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rgb="FFE8E4C8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96ADD6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rgb="FFE8E4C8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rgb="FFE8E4C8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96ADD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rgb="FFE8E4C8"/>
        <name val="Calibri"/>
        <family val="2"/>
        <scheme val="minor"/>
      </font>
      <fill>
        <patternFill patternType="solid">
          <fgColor indexed="64"/>
          <bgColor rgb="FF96ADD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E8E4C8"/>
        <name val="Calibri"/>
        <family val="2"/>
        <scheme val="minor"/>
      </font>
      <fill>
        <patternFill patternType="solid">
          <fgColor indexed="64"/>
          <bgColor rgb="FF96ADD6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E85234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E8523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E8523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E85234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rgb="FFE85234"/>
        <name val="Calibri"/>
        <family val="2"/>
        <scheme val="minor"/>
      </font>
      <fill>
        <patternFill patternType="solid">
          <fgColor indexed="64"/>
          <bgColor rgb="FFF9B8A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8E4C8"/>
      <color rgb="FFFFFFCC"/>
      <color rgb="FFF9B8AF"/>
      <color rgb="FFD47751"/>
      <color rgb="FF96ADD6"/>
      <color rgb="FFE85234"/>
      <color rgb="FFF4C209"/>
      <color rgb="FFEB709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69055</xdr:rowOff>
    </xdr:from>
    <xdr:to>
      <xdr:col>3</xdr:col>
      <xdr:colOff>471488</xdr:colOff>
      <xdr:row>11</xdr:row>
      <xdr:rowOff>142874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Tipo de insumo">
              <a:extLst>
                <a:ext uri="{FF2B5EF4-FFF2-40B4-BE49-F238E27FC236}">
                  <a16:creationId xmlns:a16="http://schemas.microsoft.com/office/drawing/2014/main" id="{BE405D66-D5BB-4782-C0EA-D4140077AD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insum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313" y="1426368"/>
              <a:ext cx="1828800" cy="14311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535780</xdr:colOff>
      <xdr:row>5</xdr:row>
      <xdr:rowOff>47625</xdr:rowOff>
    </xdr:from>
    <xdr:to>
      <xdr:col>5</xdr:col>
      <xdr:colOff>142873</xdr:colOff>
      <xdr:row>11</xdr:row>
      <xdr:rowOff>119063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roveedor">
              <a:extLst>
                <a:ext uri="{FF2B5EF4-FFF2-40B4-BE49-F238E27FC236}">
                  <a16:creationId xmlns:a16="http://schemas.microsoft.com/office/drawing/2014/main" id="{074415C8-DE26-8096-3921-92069C5129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e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7405" y="1404938"/>
              <a:ext cx="3119437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180975</xdr:rowOff>
    </xdr:from>
    <xdr:to>
      <xdr:col>4</xdr:col>
      <xdr:colOff>1023938</xdr:colOff>
      <xdr:row>5</xdr:row>
      <xdr:rowOff>107156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UBRO">
              <a:extLst>
                <a:ext uri="{FF2B5EF4-FFF2-40B4-BE49-F238E27FC236}">
                  <a16:creationId xmlns:a16="http://schemas.microsoft.com/office/drawing/2014/main" id="{9D7C746B-02E8-EC42-38EB-5FD187F59D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UB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219" y="180975"/>
              <a:ext cx="4833938" cy="878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238124</xdr:colOff>
      <xdr:row>0</xdr:row>
      <xdr:rowOff>180975</xdr:rowOff>
    </xdr:from>
    <xdr:to>
      <xdr:col>10</xdr:col>
      <xdr:colOff>642938</xdr:colOff>
      <xdr:row>5</xdr:row>
      <xdr:rowOff>107156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RUBRO">
              <a:extLst>
                <a:ext uri="{FF2B5EF4-FFF2-40B4-BE49-F238E27FC236}">
                  <a16:creationId xmlns:a16="http://schemas.microsoft.com/office/drawing/2014/main" id="{A1DB3A7A-ABB6-BF00-7B33-D4ABC0DB8D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RUB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9249" y="180975"/>
              <a:ext cx="4667252" cy="878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469069212966" createdVersion="8" refreshedVersion="8" minRefreshableVersion="3" recordCount="24" xr:uid="{C3F843EB-F157-4763-999E-A5CB2FCBD721}">
  <cacheSource type="worksheet">
    <worksheetSource name="Tabla3"/>
  </cacheSource>
  <cacheFields count="64">
    <cacheField name="SKU" numFmtId="0">
      <sharedItems containsSemiMixedTypes="0" containsString="0" containsNumber="1" containsInteger="1" minValue="10001" maxValue="10024" count="24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</sharedItems>
    </cacheField>
    <cacheField name="Nombre producto" numFmtId="0">
      <sharedItems containsNonDate="0" containsBlank="1" count="4">
        <m/>
        <s v="Tarjetas personales 50 unidades" u="1"/>
        <s v="Cuaderno A5" u="1"/>
        <s v="Cuaderno A5 abrochado" u="1"/>
      </sharedItems>
    </cacheField>
    <cacheField name="RUBRO" numFmtId="0">
      <sharedItems containsNonDate="0" containsBlank="1" count="2">
        <m/>
        <s v="Papeleria" u="1"/>
      </sharedItems>
    </cacheField>
    <cacheField name="SUBRUBRO" numFmtId="0">
      <sharedItems containsNonDate="0" containsBlank="1" count="3">
        <m/>
        <s v="Emprendedores" u="1"/>
        <s v="Encuadernación" u="1"/>
      </sharedItems>
    </cacheField>
    <cacheField name="Papel 1" numFmtId="0">
      <sharedItems containsNonDate="0" containsString="0" containsBlank="1"/>
    </cacheField>
    <cacheField name="Costo papel 1" numFmtId="164">
      <sharedItems containsSemiMixedTypes="0" containsString="0" containsNumber="1" containsInteger="1" minValue="0" maxValue="0"/>
    </cacheField>
    <cacheField name="Cantidad 1" numFmtId="0">
      <sharedItems containsNonDate="0" containsString="0" containsBlank="1"/>
    </cacheField>
    <cacheField name="Doble faz 1" numFmtId="0">
      <sharedItems containsNonDate="0" containsString="0" containsBlank="1"/>
    </cacheField>
    <cacheField name="Impresora 1" numFmtId="0">
      <sharedItems containsNonDate="0" containsString="0" containsBlank="1"/>
    </cacheField>
    <cacheField name="Costo impresión 1" numFmtId="164">
      <sharedItems containsSemiMixedTypes="0" containsString="0" containsNumber="1" containsInteger="1" minValue="0" maxValue="0"/>
    </cacheField>
    <cacheField name="Subtotal impresión 1" numFmtId="164">
      <sharedItems containsSemiMixedTypes="0" containsString="0" containsNumber="1" containsInteger="1" minValue="0" maxValue="0"/>
    </cacheField>
    <cacheField name="Papel 2" numFmtId="0">
      <sharedItems containsNonDate="0" containsString="0" containsBlank="1"/>
    </cacheField>
    <cacheField name="Costo papel 2" numFmtId="164">
      <sharedItems containsSemiMixedTypes="0" containsString="0" containsNumber="1" containsInteger="1" minValue="0" maxValue="0"/>
    </cacheField>
    <cacheField name="Cantidad 2" numFmtId="0">
      <sharedItems containsNonDate="0" containsString="0" containsBlank="1"/>
    </cacheField>
    <cacheField name="Doble faz 2" numFmtId="0">
      <sharedItems containsNonDate="0" containsString="0" containsBlank="1"/>
    </cacheField>
    <cacheField name="Impresora 2" numFmtId="0">
      <sharedItems containsNonDate="0" containsString="0" containsBlank="1"/>
    </cacheField>
    <cacheField name="Costo impresión 2" numFmtId="164">
      <sharedItems containsSemiMixedTypes="0" containsString="0" containsNumber="1" containsInteger="1" minValue="0" maxValue="0"/>
    </cacheField>
    <cacheField name="Subtotal impresión 2" numFmtId="164">
      <sharedItems containsSemiMixedTypes="0" containsString="0" containsNumber="1" containsInteger="1" minValue="0" maxValue="0"/>
    </cacheField>
    <cacheField name="Papel 3" numFmtId="0">
      <sharedItems containsNonDate="0" containsString="0" containsBlank="1"/>
    </cacheField>
    <cacheField name="Costo papel 3" numFmtId="164">
      <sharedItems containsSemiMixedTypes="0" containsString="0" containsNumber="1" containsInteger="1" minValue="0" maxValue="0"/>
    </cacheField>
    <cacheField name="Cantidad 3" numFmtId="0">
      <sharedItems containsNonDate="0" containsString="0" containsBlank="1"/>
    </cacheField>
    <cacheField name="Doble faz 3" numFmtId="0">
      <sharedItems containsNonDate="0" containsString="0" containsBlank="1"/>
    </cacheField>
    <cacheField name="Impresora 3" numFmtId="0">
      <sharedItems containsNonDate="0" containsString="0" containsBlank="1"/>
    </cacheField>
    <cacheField name="Costo impresión 3" numFmtId="164">
      <sharedItems containsSemiMixedTypes="0" containsString="0" containsNumber="1" containsInteger="1" minValue="0" maxValue="0"/>
    </cacheField>
    <cacheField name="Subtotal impresión 3" numFmtId="164">
      <sharedItems containsSemiMixedTypes="0" containsString="0" containsNumber="1" containsInteger="1" minValue="0" maxValue="0"/>
    </cacheField>
    <cacheField name="Papel 4" numFmtId="0">
      <sharedItems containsNonDate="0" containsString="0" containsBlank="1"/>
    </cacheField>
    <cacheField name="Costo papel 4" numFmtId="164">
      <sharedItems containsSemiMixedTypes="0" containsString="0" containsNumber="1" containsInteger="1" minValue="0" maxValue="0"/>
    </cacheField>
    <cacheField name="Cantidad 4" numFmtId="0">
      <sharedItems containsNonDate="0" containsString="0" containsBlank="1"/>
    </cacheField>
    <cacheField name="Doble faz 4" numFmtId="0">
      <sharedItems containsNonDate="0" containsString="0" containsBlank="1"/>
    </cacheField>
    <cacheField name="Impresora 4" numFmtId="0">
      <sharedItems containsNonDate="0" containsString="0" containsBlank="1"/>
    </cacheField>
    <cacheField name="Costo impresión 4" numFmtId="164">
      <sharedItems containsSemiMixedTypes="0" containsString="0" containsNumber="1" containsInteger="1" minValue="0" maxValue="0"/>
    </cacheField>
    <cacheField name="Subtotal impresión 4" numFmtId="164">
      <sharedItems containsSemiMixedTypes="0" containsString="0" containsNumber="1" containsInteger="1" minValue="0" maxValue="0"/>
    </cacheField>
    <cacheField name="Papel 5" numFmtId="0">
      <sharedItems containsNonDate="0" containsString="0" containsBlank="1"/>
    </cacheField>
    <cacheField name="Costo papel 5" numFmtId="164">
      <sharedItems containsSemiMixedTypes="0" containsString="0" containsNumber="1" containsInteger="1" minValue="0" maxValue="0"/>
    </cacheField>
    <cacheField name="Cantidad 5" numFmtId="0">
      <sharedItems containsNonDate="0" containsString="0" containsBlank="1"/>
    </cacheField>
    <cacheField name="Doble faz 5" numFmtId="0">
      <sharedItems containsNonDate="0" containsString="0" containsBlank="1"/>
    </cacheField>
    <cacheField name="Impresora 5" numFmtId="0">
      <sharedItems containsNonDate="0" containsString="0" containsBlank="1"/>
    </cacheField>
    <cacheField name="Costo impresión 5" numFmtId="164">
      <sharedItems containsSemiMixedTypes="0" containsString="0" containsNumber="1" containsInteger="1" minValue="0" maxValue="0"/>
    </cacheField>
    <cacheField name="Subtotal impresión 5" numFmtId="164">
      <sharedItems containsSemiMixedTypes="0" containsString="0" containsNumber="1" containsInteger="1" minValue="0" maxValue="0"/>
    </cacheField>
    <cacheField name="Insumo 1" numFmtId="0">
      <sharedItems containsNonDate="0" containsString="0" containsBlank="1"/>
    </cacheField>
    <cacheField name="Costo insumo 1" numFmtId="164">
      <sharedItems containsSemiMixedTypes="0" containsString="0" containsNumber="1" containsInteger="1" minValue="0" maxValue="0"/>
    </cacheField>
    <cacheField name="Cantidad insumo 1" numFmtId="0">
      <sharedItems containsNonDate="0" containsString="0" containsBlank="1"/>
    </cacheField>
    <cacheField name="Subtotal insumos 1" numFmtId="164">
      <sharedItems containsSemiMixedTypes="0" containsString="0" containsNumber="1" containsInteger="1" minValue="0" maxValue="0"/>
    </cacheField>
    <cacheField name="Insumo 2" numFmtId="0">
      <sharedItems containsNonDate="0" containsString="0" containsBlank="1"/>
    </cacheField>
    <cacheField name="Costo insumo 2" numFmtId="164">
      <sharedItems containsSemiMixedTypes="0" containsString="0" containsNumber="1" containsInteger="1" minValue="0" maxValue="0"/>
    </cacheField>
    <cacheField name="Cantidad insumo 2" numFmtId="0">
      <sharedItems containsNonDate="0" containsString="0" containsBlank="1"/>
    </cacheField>
    <cacheField name="Subtotal insumos 2" numFmtId="164">
      <sharedItems containsSemiMixedTypes="0" containsString="0" containsNumber="1" containsInteger="1" minValue="0" maxValue="0"/>
    </cacheField>
    <cacheField name="Insumo 3" numFmtId="0">
      <sharedItems containsNonDate="0" containsString="0" containsBlank="1"/>
    </cacheField>
    <cacheField name="Costo insumo 3" numFmtId="164">
      <sharedItems containsSemiMixedTypes="0" containsString="0" containsNumber="1" containsInteger="1" minValue="0" maxValue="0"/>
    </cacheField>
    <cacheField name="Cantidad insumo 3" numFmtId="0">
      <sharedItems containsNonDate="0" containsString="0" containsBlank="1"/>
    </cacheField>
    <cacheField name="Subtotal insumos 3" numFmtId="164">
      <sharedItems containsSemiMixedTypes="0" containsString="0" containsNumber="1" containsInteger="1" minValue="0" maxValue="0"/>
    </cacheField>
    <cacheField name="Insumo 4" numFmtId="0">
      <sharedItems containsNonDate="0" containsString="0" containsBlank="1"/>
    </cacheField>
    <cacheField name="Costo insumo 4" numFmtId="164">
      <sharedItems containsSemiMixedTypes="0" containsString="0" containsNumber="1" containsInteger="1" minValue="0" maxValue="0"/>
    </cacheField>
    <cacheField name="Cantidad insumo 4" numFmtId="0">
      <sharedItems containsNonDate="0" containsString="0" containsBlank="1"/>
    </cacheField>
    <cacheField name="Subtotal insumos 4" numFmtId="164">
      <sharedItems containsSemiMixedTypes="0" containsString="0" containsNumber="1" containsInteger="1" minValue="0" maxValue="0"/>
    </cacheField>
    <cacheField name="Insumo 5" numFmtId="0">
      <sharedItems containsNonDate="0" containsString="0" containsBlank="1"/>
    </cacheField>
    <cacheField name="Costo insumo 5" numFmtId="164">
      <sharedItems containsSemiMixedTypes="0" containsString="0" containsNumber="1" containsInteger="1" minValue="0" maxValue="0"/>
    </cacheField>
    <cacheField name="Cantidad insumo 5" numFmtId="0">
      <sharedItems containsNonDate="0" containsString="0" containsBlank="1"/>
    </cacheField>
    <cacheField name="Subtotal insumos 5" numFmtId="164">
      <sharedItems containsSemiMixedTypes="0" containsString="0" containsNumber="1" containsInteger="1" minValue="0" maxValue="0"/>
    </cacheField>
    <cacheField name="Costo sin servicios" numFmtId="164">
      <sharedItems containsSemiMixedTypes="0" containsString="0" containsNumber="1" containsInteger="1" minValue="0" maxValue="0"/>
    </cacheField>
    <cacheField name="Cantidad de horas" numFmtId="0">
      <sharedItems containsNonDate="0" containsString="0" containsBlank="1"/>
    </cacheField>
    <cacheField name="Costo servicios" numFmtId="164">
      <sharedItems containsSemiMixedTypes="0" containsString="0" containsNumber="1" containsInteger="1" minValue="0" maxValue="0"/>
    </cacheField>
    <cacheField name="Costo mano de obra" numFmtId="164">
      <sharedItems containsSemiMixedTypes="0" containsString="0" containsNumber="1" containsInteger="1" minValue="0" maxValue="0"/>
    </cacheField>
    <cacheField name="Costo total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7320319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1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2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3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4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5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6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7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8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9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10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11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12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13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14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15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16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17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18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19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20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21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22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  <r>
    <x v="23"/>
    <x v="0"/>
    <x v="0"/>
    <x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m/>
    <m/>
    <n v="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m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6F942-57AB-4612-A8F2-BE053120D53E}" name="TablaDinámica1" cacheId="1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compact="0" compactData="0" multipleFieldFilters="0">
  <location ref="B11:F35" firstHeaderRow="1" firstDataRow="1" firstDataCol="4"/>
  <pivotFields count="64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4">
        <item m="1" x="2"/>
        <item m="1" x="1"/>
        <item x="0"/>
        <item m="1" x="3"/>
      </items>
    </pivotField>
    <pivotField axis="axisRow" compact="0" outline="0" showAll="0" defaultSubtotal="0">
      <items count="2">
        <item m="1" x="1"/>
        <item x="0"/>
      </items>
    </pivotField>
    <pivotField axis="axisRow" compact="0" outline="0" showAll="0" defaultSubtotal="0">
      <items count="3">
        <item m="1" x="1"/>
        <item m="1" x="2"/>
        <item x="0"/>
      </items>
    </pivotField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numFmtId="164" outline="0" subtotalTop="0" showAll="0" defaultSubtotal="0"/>
    <pivotField compact="0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name="Costo total2" dataField="1" compact="0" numFmtId="164" outline="0" subtotalTop="0" showAll="0" defaultSubtotal="0"/>
  </pivotFields>
  <rowFields count="4">
    <field x="0"/>
    <field x="1"/>
    <field x="2"/>
    <field x="3"/>
  </rowFields>
  <rowItems count="24">
    <i>
      <x/>
      <x v="2"/>
      <x v="1"/>
      <x v="2"/>
    </i>
    <i>
      <x v="1"/>
      <x v="2"/>
      <x v="1"/>
      <x v="2"/>
    </i>
    <i>
      <x v="2"/>
      <x v="2"/>
      <x v="1"/>
      <x v="2"/>
    </i>
    <i>
      <x v="3"/>
      <x v="2"/>
      <x v="1"/>
      <x v="2"/>
    </i>
    <i>
      <x v="4"/>
      <x v="2"/>
      <x v="1"/>
      <x v="2"/>
    </i>
    <i>
      <x v="5"/>
      <x v="2"/>
      <x v="1"/>
      <x v="2"/>
    </i>
    <i>
      <x v="6"/>
      <x v="2"/>
      <x v="1"/>
      <x v="2"/>
    </i>
    <i>
      <x v="7"/>
      <x v="2"/>
      <x v="1"/>
      <x v="2"/>
    </i>
    <i>
      <x v="8"/>
      <x v="2"/>
      <x v="1"/>
      <x v="2"/>
    </i>
    <i>
      <x v="9"/>
      <x v="2"/>
      <x v="1"/>
      <x v="2"/>
    </i>
    <i>
      <x v="10"/>
      <x v="2"/>
      <x v="1"/>
      <x v="2"/>
    </i>
    <i>
      <x v="11"/>
      <x v="2"/>
      <x v="1"/>
      <x v="2"/>
    </i>
    <i>
      <x v="12"/>
      <x v="2"/>
      <x v="1"/>
      <x v="2"/>
    </i>
    <i>
      <x v="13"/>
      <x v="2"/>
      <x v="1"/>
      <x v="2"/>
    </i>
    <i>
      <x v="14"/>
      <x v="2"/>
      <x v="1"/>
      <x v="2"/>
    </i>
    <i>
      <x v="15"/>
      <x v="2"/>
      <x v="1"/>
      <x v="2"/>
    </i>
    <i>
      <x v="16"/>
      <x v="2"/>
      <x v="1"/>
      <x v="2"/>
    </i>
    <i>
      <x v="17"/>
      <x v="2"/>
      <x v="1"/>
      <x v="2"/>
    </i>
    <i>
      <x v="18"/>
      <x v="2"/>
      <x v="1"/>
      <x v="2"/>
    </i>
    <i>
      <x v="19"/>
      <x v="2"/>
      <x v="1"/>
      <x v="2"/>
    </i>
    <i>
      <x v="20"/>
      <x v="2"/>
      <x v="1"/>
      <x v="2"/>
    </i>
    <i>
      <x v="21"/>
      <x v="2"/>
      <x v="1"/>
      <x v="2"/>
    </i>
    <i>
      <x v="22"/>
      <x v="2"/>
      <x v="1"/>
      <x v="2"/>
    </i>
    <i>
      <x v="23"/>
      <x v="2"/>
      <x v="1"/>
      <x v="2"/>
    </i>
  </rowItems>
  <colItems count="1">
    <i/>
  </colItems>
  <dataFields count="1">
    <dataField name="Costo total" fld="63" baseField="3" baseItem="0" numFmtId="164"/>
  </dataFields>
  <formats count="65">
    <format dxfId="75">
      <pivotArea dataOnly="0" labelOnly="1" outline="0" fieldPosition="0">
        <references count="1">
          <reference field="0" count="0"/>
        </references>
      </pivotArea>
    </format>
    <format dxfId="7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field="1" type="button" dataOnly="0" labelOnly="1" outline="0" axis="axisRow" fieldPosition="1"/>
    </format>
    <format dxfId="70">
      <pivotArea field="2" type="button" dataOnly="0" labelOnly="1" outline="0" axis="axisRow" fieldPosition="2"/>
    </format>
    <format dxfId="69">
      <pivotArea field="3" type="button" dataOnly="0" labelOnly="1" outline="0" axis="axisRow" fieldPosition="3"/>
    </format>
    <format dxfId="68">
      <pivotArea dataOnly="0" labelOnly="1" outline="0" axis="axisValues" fieldPosition="0"/>
    </format>
    <format dxfId="67">
      <pivotArea field="0" type="button" dataOnly="0" labelOnly="1" outline="0" axis="axisRow" fieldPosition="0"/>
    </format>
    <format dxfId="66">
      <pivotArea field="1" type="button" dataOnly="0" labelOnly="1" outline="0" axis="axisRow" fieldPosition="1"/>
    </format>
    <format dxfId="65">
      <pivotArea dataOnly="0" labelOnly="1" outline="0" axis="axisValues" fieldPosition="0"/>
    </format>
    <format dxfId="6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63">
      <pivotArea field="3" type="button" dataOnly="0" labelOnly="1" outline="0" axis="axisRow" fieldPosition="3"/>
    </format>
    <format dxfId="62">
      <pivotArea dataOnly="0" labelOnly="1" outline="0" fieldPosition="0">
        <references count="4">
          <reference field="0" count="1" selected="0">
            <x v="0"/>
          </reference>
          <reference field="1" count="0" selected="0"/>
          <reference field="2" count="0" selected="0"/>
          <reference field="3" count="0"/>
        </references>
      </pivotArea>
    </format>
    <format dxfId="61">
      <pivotArea dataOnly="0" labelOnly="1" outline="0" fieldPosition="0">
        <references count="4">
          <reference field="0" count="1" selected="0">
            <x v="1"/>
          </reference>
          <reference field="1" count="0" selected="0"/>
          <reference field="2" count="0" selected="0"/>
          <reference field="3" count="0"/>
        </references>
      </pivotArea>
    </format>
    <format dxfId="60">
      <pivotArea dataOnly="0" labelOnly="1" outline="0" fieldPosition="0">
        <references count="4">
          <reference field="0" count="1" selected="0">
            <x v="2"/>
          </reference>
          <reference field="1" count="0" selected="0"/>
          <reference field="2" count="0" selected="0"/>
          <reference field="3" count="0"/>
        </references>
      </pivotArea>
    </format>
    <format dxfId="59">
      <pivotArea dataOnly="0" labelOnly="1" outline="0" fieldPosition="0">
        <references count="4">
          <reference field="0" count="1" selected="0">
            <x v="3"/>
          </reference>
          <reference field="1" count="0" selected="0"/>
          <reference field="2" count="0" selected="0"/>
          <reference field="3" count="0"/>
        </references>
      </pivotArea>
    </format>
    <format dxfId="58">
      <pivotArea dataOnly="0" labelOnly="1" outline="0" fieldPosition="0">
        <references count="4">
          <reference field="0" count="1" selected="0">
            <x v="4"/>
          </reference>
          <reference field="1" count="0" selected="0"/>
          <reference field="2" count="0" selected="0"/>
          <reference field="3" count="0"/>
        </references>
      </pivotArea>
    </format>
    <format dxfId="57">
      <pivotArea dataOnly="0" labelOnly="1" outline="0" fieldPosition="0">
        <references count="4">
          <reference field="0" count="1" selected="0">
            <x v="5"/>
          </reference>
          <reference field="1" count="0" selected="0"/>
          <reference field="2" count="0" selected="0"/>
          <reference field="3" count="0"/>
        </references>
      </pivotArea>
    </format>
    <format dxfId="56">
      <pivotArea dataOnly="0" labelOnly="1" outline="0" fieldPosition="0">
        <references count="4">
          <reference field="0" count="1" selected="0">
            <x v="6"/>
          </reference>
          <reference field="1" count="0" selected="0"/>
          <reference field="2" count="0" selected="0"/>
          <reference field="3" count="0"/>
        </references>
      </pivotArea>
    </format>
    <format dxfId="55">
      <pivotArea dataOnly="0" labelOnly="1" outline="0" fieldPosition="0">
        <references count="4">
          <reference field="0" count="1" selected="0">
            <x v="7"/>
          </reference>
          <reference field="1" count="0" selected="0"/>
          <reference field="2" count="0" selected="0"/>
          <reference field="3" count="0"/>
        </references>
      </pivotArea>
    </format>
    <format dxfId="54">
      <pivotArea dataOnly="0" labelOnly="1" outline="0" fieldPosition="0">
        <references count="4">
          <reference field="0" count="1" selected="0">
            <x v="8"/>
          </reference>
          <reference field="1" count="0" selected="0"/>
          <reference field="2" count="0" selected="0"/>
          <reference field="3" count="0"/>
        </references>
      </pivotArea>
    </format>
    <format dxfId="53">
      <pivotArea dataOnly="0" labelOnly="1" outline="0" fieldPosition="0">
        <references count="4">
          <reference field="0" count="1" selected="0">
            <x v="9"/>
          </reference>
          <reference field="1" count="0" selected="0"/>
          <reference field="2" count="0" selected="0"/>
          <reference field="3" count="0"/>
        </references>
      </pivotArea>
    </format>
    <format dxfId="52">
      <pivotArea dataOnly="0" labelOnly="1" outline="0" fieldPosition="0">
        <references count="4">
          <reference field="0" count="1" selected="0">
            <x v="10"/>
          </reference>
          <reference field="1" count="0" selected="0"/>
          <reference field="2" count="0" selected="0"/>
          <reference field="3" count="0"/>
        </references>
      </pivotArea>
    </format>
    <format dxfId="51">
      <pivotArea dataOnly="0" labelOnly="1" outline="0" fieldPosition="0">
        <references count="4">
          <reference field="0" count="1" selected="0">
            <x v="11"/>
          </reference>
          <reference field="1" count="0" selected="0"/>
          <reference field="2" count="0" selected="0"/>
          <reference field="3" count="0"/>
        </references>
      </pivotArea>
    </format>
    <format dxfId="50">
      <pivotArea dataOnly="0" labelOnly="1" outline="0" fieldPosition="0">
        <references count="4">
          <reference field="0" count="1" selected="0">
            <x v="12"/>
          </reference>
          <reference field="1" count="0" selected="0"/>
          <reference field="2" count="0" selected="0"/>
          <reference field="3" count="0"/>
        </references>
      </pivotArea>
    </format>
    <format dxfId="49">
      <pivotArea dataOnly="0" labelOnly="1" outline="0" fieldPosition="0">
        <references count="4">
          <reference field="0" count="1" selected="0">
            <x v="13"/>
          </reference>
          <reference field="1" count="0" selected="0"/>
          <reference field="2" count="0" selected="0"/>
          <reference field="3" count="0"/>
        </references>
      </pivotArea>
    </format>
    <format dxfId="48">
      <pivotArea dataOnly="0" labelOnly="1" outline="0" fieldPosition="0">
        <references count="4">
          <reference field="0" count="1" selected="0">
            <x v="14"/>
          </reference>
          <reference field="1" count="0" selected="0"/>
          <reference field="2" count="0" selected="0"/>
          <reference field="3" count="0"/>
        </references>
      </pivotArea>
    </format>
    <format dxfId="47">
      <pivotArea dataOnly="0" labelOnly="1" outline="0" fieldPosition="0">
        <references count="4">
          <reference field="0" count="1" selected="0">
            <x v="15"/>
          </reference>
          <reference field="1" count="0" selected="0"/>
          <reference field="2" count="0" selected="0"/>
          <reference field="3" count="0"/>
        </references>
      </pivotArea>
    </format>
    <format dxfId="46">
      <pivotArea dataOnly="0" labelOnly="1" outline="0" fieldPosition="0">
        <references count="4">
          <reference field="0" count="1" selected="0">
            <x v="16"/>
          </reference>
          <reference field="1" count="0" selected="0"/>
          <reference field="2" count="0" selected="0"/>
          <reference field="3" count="0"/>
        </references>
      </pivotArea>
    </format>
    <format dxfId="45">
      <pivotArea dataOnly="0" labelOnly="1" outline="0" fieldPosition="0">
        <references count="4">
          <reference field="0" count="1" selected="0">
            <x v="17"/>
          </reference>
          <reference field="1" count="0" selected="0"/>
          <reference field="2" count="0" selected="0"/>
          <reference field="3" count="0"/>
        </references>
      </pivotArea>
    </format>
    <format dxfId="44">
      <pivotArea dataOnly="0" labelOnly="1" outline="0" fieldPosition="0">
        <references count="4">
          <reference field="0" count="1" selected="0">
            <x v="18"/>
          </reference>
          <reference field="1" count="0" selected="0"/>
          <reference field="2" count="0" selected="0"/>
          <reference field="3" count="0"/>
        </references>
      </pivotArea>
    </format>
    <format dxfId="43">
      <pivotArea dataOnly="0" labelOnly="1" outline="0" fieldPosition="0">
        <references count="4">
          <reference field="0" count="1" selected="0">
            <x v="19"/>
          </reference>
          <reference field="1" count="0" selected="0"/>
          <reference field="2" count="0" selected="0"/>
          <reference field="3" count="0"/>
        </references>
      </pivotArea>
    </format>
    <format dxfId="42">
      <pivotArea dataOnly="0" labelOnly="1" outline="0" fieldPosition="0">
        <references count="4">
          <reference field="0" count="1" selected="0">
            <x v="20"/>
          </reference>
          <reference field="1" count="0" selected="0"/>
          <reference field="2" count="0" selected="0"/>
          <reference field="3" count="0"/>
        </references>
      </pivotArea>
    </format>
    <format dxfId="41">
      <pivotArea dataOnly="0" labelOnly="1" outline="0" fieldPosition="0">
        <references count="4">
          <reference field="0" count="1" selected="0">
            <x v="21"/>
          </reference>
          <reference field="1" count="0" selected="0"/>
          <reference field="2" count="0" selected="0"/>
          <reference field="3" count="0"/>
        </references>
      </pivotArea>
    </format>
    <format dxfId="40">
      <pivotArea dataOnly="0" labelOnly="1" outline="0" fieldPosition="0">
        <references count="4">
          <reference field="0" count="1" selected="0">
            <x v="22"/>
          </reference>
          <reference field="1" count="0" selected="0"/>
          <reference field="2" count="0" selected="0"/>
          <reference field="3" count="0"/>
        </references>
      </pivotArea>
    </format>
    <format dxfId="39">
      <pivotArea dataOnly="0" labelOnly="1" outline="0" fieldPosition="0">
        <references count="4">
          <reference field="0" count="1" selected="0">
            <x v="23"/>
          </reference>
          <reference field="1" count="0" selected="0"/>
          <reference field="2" count="0" selected="0"/>
          <reference field="3" count="0"/>
        </references>
      </pivotArea>
    </format>
    <format dxfId="38">
      <pivotArea field="2" type="button" dataOnly="0" labelOnly="1" outline="0" axis="axisRow" fieldPosition="2"/>
    </format>
    <format dxfId="37">
      <pivotArea dataOnly="0" labelOnly="1" outline="0" fieldPosition="0">
        <references count="3">
          <reference field="0" count="1" selected="0">
            <x v="0"/>
          </reference>
          <reference field="1" count="0" selected="0"/>
          <reference field="2" count="0"/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3">
          <reference field="0" count="1" selected="0">
            <x v="0"/>
          </reference>
          <reference field="1" count="0" selected="0"/>
          <reference field="2" count="0"/>
        </references>
      </pivotArea>
    </format>
    <format dxfId="23">
      <pivotArea dataOnly="0" labelOnly="1" outline="0" fieldPosition="0">
        <references count="4">
          <reference field="0" count="1" selected="0">
            <x v="0"/>
          </reference>
          <reference field="1" count="0" selected="0"/>
          <reference field="2" count="0" selected="0"/>
          <reference field="3" count="0"/>
        </references>
      </pivotArea>
    </format>
    <format dxfId="22">
      <pivotArea dataOnly="0" labelOnly="1" outline="0" fieldPosition="0">
        <references count="4">
          <reference field="0" count="1" selected="0">
            <x v="1"/>
          </reference>
          <reference field="1" count="0" selected="0"/>
          <reference field="2" count="0" selected="0"/>
          <reference field="3" count="0"/>
        </references>
      </pivotArea>
    </format>
    <format dxfId="21">
      <pivotArea dataOnly="0" labelOnly="1" outline="0" fieldPosition="0">
        <references count="4">
          <reference field="0" count="1" selected="0">
            <x v="2"/>
          </reference>
          <reference field="1" count="0" selected="0"/>
          <reference field="2" count="0" selected="0"/>
          <reference field="3" count="0"/>
        </references>
      </pivotArea>
    </format>
    <format dxfId="20">
      <pivotArea dataOnly="0" labelOnly="1" outline="0" fieldPosition="0">
        <references count="4">
          <reference field="0" count="1" selected="0">
            <x v="3"/>
          </reference>
          <reference field="1" count="0" selected="0"/>
          <reference field="2" count="0" selected="0"/>
          <reference field="3" count="0"/>
        </references>
      </pivotArea>
    </format>
    <format dxfId="19">
      <pivotArea dataOnly="0" labelOnly="1" outline="0" fieldPosition="0">
        <references count="4">
          <reference field="0" count="1" selected="0">
            <x v="4"/>
          </reference>
          <reference field="1" count="0" selected="0"/>
          <reference field="2" count="0" selected="0"/>
          <reference field="3" count="0"/>
        </references>
      </pivotArea>
    </format>
    <format dxfId="18">
      <pivotArea dataOnly="0" labelOnly="1" outline="0" fieldPosition="0">
        <references count="4">
          <reference field="0" count="1" selected="0">
            <x v="5"/>
          </reference>
          <reference field="1" count="0" selected="0"/>
          <reference field="2" count="0" selected="0"/>
          <reference field="3" count="0"/>
        </references>
      </pivotArea>
    </format>
    <format dxfId="17">
      <pivotArea dataOnly="0" labelOnly="1" outline="0" fieldPosition="0">
        <references count="4">
          <reference field="0" count="1" selected="0">
            <x v="6"/>
          </reference>
          <reference field="1" count="0" selected="0"/>
          <reference field="2" count="0" selected="0"/>
          <reference field="3" count="0"/>
        </references>
      </pivotArea>
    </format>
    <format dxfId="16">
      <pivotArea dataOnly="0" labelOnly="1" outline="0" fieldPosition="0">
        <references count="4">
          <reference field="0" count="1" selected="0">
            <x v="7"/>
          </reference>
          <reference field="1" count="0" selected="0"/>
          <reference field="2" count="0" selected="0"/>
          <reference field="3" count="0"/>
        </references>
      </pivotArea>
    </format>
    <format dxfId="15">
      <pivotArea dataOnly="0" labelOnly="1" outline="0" fieldPosition="0">
        <references count="4">
          <reference field="0" count="1" selected="0">
            <x v="8"/>
          </reference>
          <reference field="1" count="0" selected="0"/>
          <reference field="2" count="0" selected="0"/>
          <reference field="3" count="0"/>
        </references>
      </pivotArea>
    </format>
    <format dxfId="14">
      <pivotArea dataOnly="0" labelOnly="1" outline="0" fieldPosition="0">
        <references count="4">
          <reference field="0" count="1" selected="0">
            <x v="9"/>
          </reference>
          <reference field="1" count="0" selected="0"/>
          <reference field="2" count="0" selected="0"/>
          <reference field="3" count="0"/>
        </references>
      </pivotArea>
    </format>
    <format dxfId="13">
      <pivotArea dataOnly="0" labelOnly="1" outline="0" fieldPosition="0">
        <references count="4">
          <reference field="0" count="1" selected="0">
            <x v="10"/>
          </reference>
          <reference field="1" count="0" selected="0"/>
          <reference field="2" count="0" selected="0"/>
          <reference field="3" count="0"/>
        </references>
      </pivotArea>
    </format>
    <format dxfId="12">
      <pivotArea dataOnly="0" labelOnly="1" outline="0" fieldPosition="0">
        <references count="4">
          <reference field="0" count="1" selected="0">
            <x v="11"/>
          </reference>
          <reference field="1" count="0" selected="0"/>
          <reference field="2" count="0" selected="0"/>
          <reference field="3" count="0"/>
        </references>
      </pivotArea>
    </format>
    <format dxfId="11">
      <pivotArea dataOnly="0" labelOnly="1" outline="0" fieldPosition="0">
        <references count="4">
          <reference field="0" count="1" selected="0">
            <x v="12"/>
          </reference>
          <reference field="1" count="0" selected="0"/>
          <reference field="2" count="0" selected="0"/>
          <reference field="3" count="0"/>
        </references>
      </pivotArea>
    </format>
    <format dxfId="10">
      <pivotArea dataOnly="0" labelOnly="1" outline="0" fieldPosition="0">
        <references count="4">
          <reference field="0" count="1" selected="0">
            <x v="13"/>
          </reference>
          <reference field="1" count="0" selected="0"/>
          <reference field="2" count="0" selected="0"/>
          <reference field="3" count="0"/>
        </references>
      </pivotArea>
    </format>
    <format dxfId="9">
      <pivotArea dataOnly="0" labelOnly="1" outline="0" fieldPosition="0">
        <references count="4">
          <reference field="0" count="1" selected="0">
            <x v="14"/>
          </reference>
          <reference field="1" count="0" selected="0"/>
          <reference field="2" count="0" selected="0"/>
          <reference field="3" count="0"/>
        </references>
      </pivotArea>
    </format>
    <format dxfId="8">
      <pivotArea dataOnly="0" labelOnly="1" outline="0" fieldPosition="0">
        <references count="4">
          <reference field="0" count="1" selected="0">
            <x v="15"/>
          </reference>
          <reference field="1" count="0" selected="0"/>
          <reference field="2" count="0" selected="0"/>
          <reference field="3" count="0"/>
        </references>
      </pivotArea>
    </format>
    <format dxfId="7">
      <pivotArea dataOnly="0" labelOnly="1" outline="0" fieldPosition="0">
        <references count="4">
          <reference field="0" count="1" selected="0">
            <x v="16"/>
          </reference>
          <reference field="1" count="0" selected="0"/>
          <reference field="2" count="0" selected="0"/>
          <reference field="3" count="0"/>
        </references>
      </pivotArea>
    </format>
    <format dxfId="6">
      <pivotArea dataOnly="0" labelOnly="1" outline="0" fieldPosition="0">
        <references count="4">
          <reference field="0" count="1" selected="0">
            <x v="17"/>
          </reference>
          <reference field="1" count="0" selected="0"/>
          <reference field="2" count="0" selected="0"/>
          <reference field="3" count="0"/>
        </references>
      </pivotArea>
    </format>
    <format dxfId="5">
      <pivotArea dataOnly="0" labelOnly="1" outline="0" fieldPosition="0">
        <references count="4">
          <reference field="0" count="1" selected="0">
            <x v="18"/>
          </reference>
          <reference field="1" count="0" selected="0"/>
          <reference field="2" count="0" selected="0"/>
          <reference field="3" count="0"/>
        </references>
      </pivotArea>
    </format>
    <format dxfId="4">
      <pivotArea dataOnly="0" labelOnly="1" outline="0" fieldPosition="0">
        <references count="4">
          <reference field="0" count="1" selected="0">
            <x v="19"/>
          </reference>
          <reference field="1" count="0" selected="0"/>
          <reference field="2" count="0" selected="0"/>
          <reference field="3" count="0"/>
        </references>
      </pivotArea>
    </format>
    <format dxfId="3">
      <pivotArea dataOnly="0" labelOnly="1" outline="0" fieldPosition="0">
        <references count="4">
          <reference field="0" count="1" selected="0">
            <x v="20"/>
          </reference>
          <reference field="1" count="0" selected="0"/>
          <reference field="2" count="0" selected="0"/>
          <reference field="3" count="0"/>
        </references>
      </pivotArea>
    </format>
    <format dxfId="2">
      <pivotArea dataOnly="0" labelOnly="1" outline="0" fieldPosition="0">
        <references count="4">
          <reference field="0" count="1" selected="0">
            <x v="21"/>
          </reference>
          <reference field="1" count="0" selected="0"/>
          <reference field="2" count="0" selected="0"/>
          <reference field="3" count="0"/>
        </references>
      </pivotArea>
    </format>
    <format dxfId="1">
      <pivotArea dataOnly="0" labelOnly="1" outline="0" fieldPosition="0">
        <references count="4">
          <reference field="0" count="1" selected="0">
            <x v="22"/>
          </reference>
          <reference field="1" count="0" selected="0"/>
          <reference field="2" count="0" selected="0"/>
          <reference field="3" count="0"/>
        </references>
      </pivotArea>
    </format>
    <format dxfId="0">
      <pivotArea dataOnly="0" labelOnly="1" outline="0" fieldPosition="0">
        <references count="4">
          <reference field="0" count="1" selected="0">
            <x v="23"/>
          </reference>
          <reference field="1" count="0" selected="0"/>
          <reference field="2" count="0" selected="0"/>
          <reference field="3" count="0"/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UBRO" xr10:uid="{2A4391EE-3CB2-4956-B3F8-C7259A4911C0}" sourceName="RUBRO">
  <pivotTables>
    <pivotTable tabId="7" name="TablaDinámica1"/>
  </pivotTables>
  <data>
    <tabular pivotCacheId="732031966">
      <items count="2">
        <i x="0" s="1"/>
        <i x="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RUBRO" xr10:uid="{739901A3-E794-4478-933A-4B84EAA587D3}" sourceName="SUBRUBRO">
  <pivotTables>
    <pivotTable tabId="7" name="TablaDinámica1"/>
  </pivotTables>
  <data>
    <tabular pivotCacheId="732031966">
      <items count="3">
        <i x="0" s="1"/>
        <i x="1" s="1" nd="1"/>
        <i x="2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insumo" xr10:uid="{BB0FF4F6-7541-40D9-8B8C-8CDC41D57B4B}" sourceName="Tipo de insumo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eedor" xr10:uid="{8D15767C-A61B-4116-93BA-0774FF6DEFFA}" sourceName="Proveedor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insumo" xr10:uid="{7B846E02-6FF9-44FA-A46A-999E9EE24E1A}" cache="SegmentaciónDeDatos_Tipo_de_insumo" caption="Tipo de insumo" style="SlicerStyleLight3" rowHeight="241300"/>
  <slicer name="Proveedor" xr10:uid="{C28224C0-1F34-4406-8B20-45DBAC32DF8F}" cache="SegmentaciónDeDatos_Proveedor" caption="Proveedor" columnCount="2" style="SlicerStyleLight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UBRO" xr10:uid="{B2D40BC9-6A2C-466D-9EB1-23BF6F9CEC37}" cache="SegmentaciónDeDatos_RUBRO" caption="RUBRO" columnCount="4" rowHeight="241300"/>
  <slicer name="SUBRUBRO" xr10:uid="{A3DE4799-88A3-4764-92A5-AF498F425B1C}" cache="SegmentaciónDeDatos_SUBRUBRO" caption="SUBRUBRO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7CE4D-BD86-4FDD-90EE-09D4B9545998}" name="Tabla1" displayName="Tabla1" ref="C13:H66" totalsRowShown="0" headerRowDxfId="158" headerRowBorderDxfId="157">
  <autoFilter ref="C13:H66" xr:uid="{3F47CE4D-BD86-4FDD-90EE-09D4B9545998}"/>
  <tableColumns count="6">
    <tableColumn id="1" xr3:uid="{D57B84CF-8ECF-461F-9EC6-9544F20AEAA4}" name="Tipo de insumo" dataDxfId="156"/>
    <tableColumn id="6" xr3:uid="{47370BD3-915A-4437-8270-5E3D09A3AD20}" name="Proveedor" dataDxfId="155"/>
    <tableColumn id="2" xr3:uid="{EA801F37-4325-445A-8CE2-7579811A166B}" name="Nombre insumo" dataDxfId="154"/>
    <tableColumn id="3" xr3:uid="{4A76725E-3900-4773-91D7-00E1FEDE2B3A}" name="Cant. Bulto" dataDxfId="153"/>
    <tableColumn id="4" xr3:uid="{06EEDE56-2B58-449E-9560-B60A7BB41E76}" name="Pr. costo bulto" dataDxfId="36"/>
    <tableColumn id="5" xr3:uid="{1221BEE6-1CD5-42E9-AA52-7AD7570A9E9D}" name="Pr. Unidad" dataDxfId="35">
      <calculatedColumnFormula>Tabla1[[#This Row],[Pr. costo bulto]]/Tabla1[[#This Row],[Cant. Bulto]]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8240E6-3EF7-4155-A0AF-214CEABD15B2}" name="Tabla2" displayName="Tabla2" ref="J5:R24" totalsRowCount="1" headerRowDxfId="152" totalsRowDxfId="151">
  <autoFilter ref="J5:R23" xr:uid="{538240E6-3EF7-4155-A0AF-214CEABD15B2}"/>
  <tableColumns count="9">
    <tableColumn id="2" xr3:uid="{7935D7B2-FD80-4F0E-BF02-A2C81A0BD75E}" name="Insumos" totalsRowLabel="Total" dataDxfId="150" totalsRowDxfId="34"/>
    <tableColumn id="3" xr3:uid="{55228CAA-65CE-4034-BAF0-4B0764B3F16F}" name="Tipo de insumo" dataDxfId="149" totalsRowDxfId="33">
      <calculatedColumnFormula>IFERROR(VLOOKUP(J6,'Insumos y gastos'!$B$13:$C$83,2,0),"")</calculatedColumnFormula>
    </tableColumn>
    <tableColumn id="4" xr3:uid="{3AF88E50-7758-4B5C-82EF-B3258FF9760A}" name="Costo insumo" dataDxfId="148" totalsRowDxfId="32">
      <calculatedColumnFormula>IFERROR(VLOOKUP(J6,Tabla1[[#All],[Nombre insumo]:[Pr. Unidad]],4,0),0)</calculatedColumnFormula>
    </tableColumn>
    <tableColumn id="5" xr3:uid="{289225D6-0502-43E9-A9FD-AEA2F0B627C5}" name="Cantidad" dataDxfId="147" totalsRowDxfId="31"/>
    <tableColumn id="6" xr3:uid="{74FF9DC4-A5A0-4613-889B-CB3280165F3A}" name="Total costo insumo" totalsRowFunction="sum" dataDxfId="146" totalsRowDxfId="30">
      <calculatedColumnFormula>Tabla2[[#This Row],[Cantidad]]*Tabla2[[#This Row],[Costo insumo]]</calculatedColumnFormula>
    </tableColumn>
    <tableColumn id="11" xr3:uid="{D00D0F2C-FEBC-4D96-862B-3C6AB3CD381F}" name="Doble faz" dataDxfId="145" totalsRowDxfId="29"/>
    <tableColumn id="12" xr3:uid="{CBFFD4CA-5C58-4E11-897E-A6165CE6CEC0}" name="Impresora" dataDxfId="144" totalsRowDxfId="28"/>
    <tableColumn id="7" xr3:uid="{B24CC143-3136-47E4-9542-B2EC416931EC}" name="Costo impresión" totalsRowFunction="sum" dataDxfId="143" totalsRowDxfId="27">
      <calculatedColumnFormula>IF(AND(Tabla2[[#This Row],[Tipo de insumo]]="PAPEL",Tabla2[[#This Row],[Doble faz]]="SI",Tabla2[[#This Row],[Impresora]]='Insumos y gastos'!$J$6),M6*'Insumos y gastos'!$K$15*2,IF(AND(Tabla2[[#This Row],[Tipo de insumo]]="PAPEL",Tabla2[[#This Row],[Doble faz]]="SI",Tabla2[[#This Row],[Impresora]]='Insumos y gastos'!$L$6),M6*'Insumos y gastos'!$M$15*2,IF(AND(Tabla2[[#This Row],[Tipo de insumo]]="PAPEL",Tabla2[[#This Row],[Doble faz]]="SI",Tabla2[[#This Row],[Impresora]]='Insumos y gastos'!$N$6),M6*'Insumos y gastos'!$O$15*2,IF(AND(Tabla2[[#This Row],[Tipo de insumo]]="PAPEL",Tabla2[[#This Row],[Doble faz]]="SI",Tabla2[[#This Row],[Impresora]]='Insumos y gastos'!$P$6),M6*'Insumos y gastos'!$Q$15*2,IF(AND(Tabla2[[#This Row],[Tipo de insumo]]="PAPEL",Tabla2[[#This Row],[Doble faz]]="SI",Tabla2[[#This Row],[Impresora]]='Insumos y gastos'!$R$6),M6*'Insumos y gastos'!$S$15*2,IF(AND(Tabla2[[#This Row],[Tipo de insumo]]="PAPEL",Tabla2[[#This Row],[Doble faz]]="SI",Tabla2[[#This Row],[Impresora]]='Insumos y gastos'!$T$6),M6*'Insumos y gastos'!$U$15*2,IF(AND(Tabla2[[#This Row],[Tipo de insumo]]="PAPEL",Tabla2[[#This Row],[Doble faz]]="NO",Tabla2[[#This Row],[Impresora]]='Insumos y gastos'!$J$6),M6*'Insumos y gastos'!$K$15,IF(AND(Tabla2[[#This Row],[Tipo de insumo]]="PAPEL",Tabla2[[#This Row],[Doble faz]]="NO",Tabla2[[#This Row],[Impresora]]='Insumos y gastos'!$L$6),M6*'Insumos y gastos'!$M$15,IF(AND(Tabla2[[#This Row],[Tipo de insumo]]="PAPEL",Tabla2[[#This Row],[Doble faz]]="NO",Tabla2[[#This Row],[Impresora]]='Insumos y gastos'!$N$6),M6*'Insumos y gastos'!$O$15,IF(AND(Tabla2[[#This Row],[Tipo de insumo]]="PAPEL",Tabla2[[#This Row],[Doble faz]]="NO",Tabla2[[#This Row],[Impresora]]='Insumos y gastos'!$P$6),M6*'Insumos y gastos'!$Q$15,IF(AND(Tabla2[[#This Row],[Tipo de insumo]]="PAPEL",Tabla2[[#This Row],[Doble faz]]="NO",Tabla2[[#This Row],[Impresora]]='Insumos y gastos'!$R$6),M6*'Insumos y gastos'!$S$15,IF(AND(Tabla2[[#This Row],[Tipo de insumo]]="PAPEL",Tabla2[[#This Row],[Doble faz]]="NO",Tabla2[[#This Row],[Impresora]]='Insumos y gastos'!$T$6),M6*'Insumos y gastos'!$U$15,0))))))))))))</calculatedColumnFormula>
    </tableColumn>
    <tableColumn id="8" xr3:uid="{3716B112-330F-4B07-A2C7-92593FC9B92B}" name="Total insumo + impresión" totalsRowFunction="sum" dataDxfId="142" totalsRowDxfId="26">
      <calculatedColumnFormula>Tabla2[[#This Row],[Costo impresión]]+Tabla2[[#This Row],[Total costo insumo]]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118274-2342-4B2B-8573-514476B80394}" name="Tabla3" displayName="Tabla3" ref="A2:BL26" totalsRowShown="0" headerRowDxfId="141" dataDxfId="140">
  <autoFilter ref="A2:BL26" xr:uid="{73118274-2342-4B2B-8573-514476B80394}"/>
  <tableColumns count="64">
    <tableColumn id="1" xr3:uid="{48537111-A7CD-4226-B92F-12867818CE3B}" name="SKU" dataDxfId="139"/>
    <tableColumn id="2" xr3:uid="{AF23AADE-FA62-414E-98EA-90B50531DE52}" name="Nombre producto" dataDxfId="138"/>
    <tableColumn id="3" xr3:uid="{59409708-3575-44C9-B328-D5C79C207B26}" name="RUBRO" dataDxfId="137"/>
    <tableColumn id="4" xr3:uid="{4C2EE695-A335-4523-BE28-46921B5E15FC}" name="SUBRUBRO" dataDxfId="136"/>
    <tableColumn id="5" xr3:uid="{F9D1D58E-B9F2-42E7-8B7A-7C7202DA0BD2}" name="Papel 1" dataDxfId="135"/>
    <tableColumn id="6" xr3:uid="{DFF50AE6-227A-424B-A150-E9D21F59AF0B}" name="Costo papel 1" dataDxfId="134">
      <calculatedColumnFormula>IFERROR(VLOOKUP(E3,Tabla1[[#All],[Nombre insumo]:[Pr. Unidad]],4,0),0)</calculatedColumnFormula>
    </tableColumn>
    <tableColumn id="7" xr3:uid="{2AAFDFFC-7B0D-4ED9-ACA3-51C400F591EF}" name="Cantidad 1" dataDxfId="133"/>
    <tableColumn id="8" xr3:uid="{E7617B67-9D53-4983-8189-A46F77544E38}" name="Doble faz 1" dataDxfId="132"/>
    <tableColumn id="9" xr3:uid="{64494600-0080-4281-B6B7-6F093B6A52D0}" name="Impresora 1" dataDxfId="131"/>
    <tableColumn id="10" xr3:uid="{DE0B4FDD-1864-4EAE-B453-C7FF658775CC}" name="Costo impresión 1" dataDxfId="130">
      <calculatedColumnFormula>G3*F3</calculatedColumnFormula>
    </tableColumn>
    <tableColumn id="11" xr3:uid="{F9485ED1-0091-4DFA-BA07-3B8228513133}" name="Subtotal impresión 1" dataDxfId="129" dataCellStyle="Moneda">
      <calculatedColumnFormula>IF(AND(H3="SI",I3='Insumos y gastos'!$J$6),J3+('Insumos y gastos'!$K$15*G3*2),IF(AND(H3="NO",I3='Insumos y gastos'!$J$6),Productos!J3+('Insumos y gastos'!$K$15*Productos!G3),IF(AND(H3="SI",I3='Insumos y gastos'!$L$6),J3+('Insumos y gastos'!$M$15*G3*2),IF(AND(H3="NO",I3='Insumos y gastos'!$L$6),Productos!J3+('Insumos y gastos'!$M$15*Productos!G3),IF(AND(H3="SI",I3='Insumos y gastos'!$N$6),J3+('Insumos y gastos'!$O$15*G3*2),IF(AND(H3="NO",I3='Insumos y gastos'!$N$6),Productos!J3+('Insumos y gastos'!$O$15*Productos!G3),IF(AND(H3="SI",I3='Insumos y gastos'!$P$6),J3+('Insumos y gastos'!$Q$15*G3*2),IF(AND(H3="NO",I3='Insumos y gastos'!$P$6),Productos!J3+('Insumos y gastos'!$Q$15*Productos!G3),IF(AND(H3="SI",I3='Insumos y gastos'!$R$6),J3+('Insumos y gastos'!$S$15*G3*2),IF(AND(H3="NO",I3='Insumos y gastos'!$R$6),Productos!J3+('Insumos y gastos'!$S$15*Productos!G3),IF(AND(H3="SI",I3='Insumos y gastos'!$T$6),J3+('Insumos y gastos'!$U$15*G3*2),IF(AND(H3="NO",I3='Insumos y gastos'!$T$6),Productos!J3+('Insumos y gastos'!$U$15*Productos!G3),0))))))))))))</calculatedColumnFormula>
    </tableColumn>
    <tableColumn id="12" xr3:uid="{10F30733-84BB-46AF-8B8C-76D158A049C5}" name="Papel 2" dataDxfId="128"/>
    <tableColumn id="13" xr3:uid="{7C9F66C7-E955-43F3-834B-45C451205E47}" name="Costo papel 2" dataDxfId="127">
      <calculatedColumnFormula>IFERROR(VLOOKUP(L3,Tabla1[[#All],[Nombre insumo]:[Pr. Unidad]],4,0),0)</calculatedColumnFormula>
    </tableColumn>
    <tableColumn id="14" xr3:uid="{9B83D809-07E8-4B5A-92A2-E6EAF9E1E3AF}" name="Cantidad 2" dataDxfId="126"/>
    <tableColumn id="15" xr3:uid="{96DEFA4A-507D-4F9F-9004-13724DE22385}" name="Doble faz 2" dataDxfId="125"/>
    <tableColumn id="16" xr3:uid="{2786C11F-B834-4C5E-A839-49DE7C59B6F4}" name="Impresora 2" dataDxfId="124"/>
    <tableColumn id="17" xr3:uid="{28EBE6F8-6355-49B5-9518-6FABBF943AE0}" name="Costo impresión 2" dataDxfId="123">
      <calculatedColumnFormula>N3*M3</calculatedColumnFormula>
    </tableColumn>
    <tableColumn id="18" xr3:uid="{64DD8788-DF22-430C-B5B2-E794154F7C01}" name="Subtotal impresión 2" dataDxfId="122">
      <calculatedColumnFormula>IF(AND(O3="SI",P3='Insumos y gastos'!$J$6),Q3+('Insumos y gastos'!$K$15*N3*2),IF(AND(O3="NO",P3='Insumos y gastos'!$J$6),Productos!Q3+('Insumos y gastos'!$K$15*Productos!N3),IF(AND(O3="SI",P3='Insumos y gastos'!$L$6),Q3+('Insumos y gastos'!$M$15*N3*2),IF(AND(O3="NO",P3='Insumos y gastos'!$L$6),Productos!Q3+('Insumos y gastos'!$M$15*Productos!N3),IF(AND(O3="SI",P3='Insumos y gastos'!$N$6),Q3+('Insumos y gastos'!$O$15*N3*2),IF(AND(O3="NO",P3='Insumos y gastos'!$N$6),Productos!Q3+('Insumos y gastos'!$O$15*Productos!N3),IF(AND(O3="SI",P3='Insumos y gastos'!$P$6),Q3+('Insumos y gastos'!$Q$15*N3*2),IF(AND(O3="NO",P3='Insumos y gastos'!$P$6),Productos!Q3+('Insumos y gastos'!$Q$15*Productos!N3),IF(AND(O3="SI",P3='Insumos y gastos'!$R$6),Q3+('Insumos y gastos'!$S$15*N3*2),IF(AND(O3="NO",P3='Insumos y gastos'!$R$6),Productos!Q3+('Insumos y gastos'!$S$15*Productos!N3),IF(AND(O3="SI",P3='Insumos y gastos'!$T$6),Q3+('Insumos y gastos'!$U$15*N3*2),IF(AND(O3="NO",P3='Insumos y gastos'!$T$6),Productos!Q3+('Insumos y gastos'!$U$15*Productos!N3),0))))))))))))</calculatedColumnFormula>
    </tableColumn>
    <tableColumn id="19" xr3:uid="{18408B78-59F0-4A78-AC9F-8D0D3444951E}" name="Papel 3" dataDxfId="121"/>
    <tableColumn id="20" xr3:uid="{ED23B697-49EB-4EE0-AC3A-47C41E326BC5}" name="Costo papel 3" dataDxfId="120">
      <calculatedColumnFormula>IFERROR(VLOOKUP(S3,Tabla1[[#All],[Nombre insumo]:[Pr. Unidad]],4,0),0)</calculatedColumnFormula>
    </tableColumn>
    <tableColumn id="21" xr3:uid="{CCCF33A8-8900-4FD8-BB0D-2A356BDF7A4F}" name="Cantidad 3" dataDxfId="119"/>
    <tableColumn id="22" xr3:uid="{9BF3CBDB-51C3-409A-B384-DAA768190170}" name="Doble faz 3" dataDxfId="118"/>
    <tableColumn id="23" xr3:uid="{FA49FD1C-540F-428E-9E14-AA175A24A7F6}" name="Impresora 3" dataDxfId="117"/>
    <tableColumn id="24" xr3:uid="{799DF2B1-69D9-4B66-BE75-D5F331B04387}" name="Costo impresión 3" dataDxfId="116">
      <calculatedColumnFormula>U3*T3</calculatedColumnFormula>
    </tableColumn>
    <tableColumn id="25" xr3:uid="{D8AC40D4-EC20-48F4-AB33-FEE20B2E11E0}" name="Subtotal impresión 3" dataDxfId="115">
      <calculatedColumnFormula>IF(AND(V3="SI",W3='Insumos y gastos'!$J$6),X3+('Insumos y gastos'!$K$15*U3*2),IF(AND(V3="NO",W3='Insumos y gastos'!$J$6),Productos!X3+('Insumos y gastos'!$K$15*Productos!U3),IF(AND(V3="SI",W3='Insumos y gastos'!$L$6),X3+('Insumos y gastos'!$M$15*U3*2),IF(AND(V3="NO",W3='Insumos y gastos'!$L$6),Productos!X3+('Insumos y gastos'!$M$15*Productos!U3),IF(AND(V3="SI",W3='Insumos y gastos'!$N$6),X3+('Insumos y gastos'!$O$15*U3*2),IF(AND(V3="NO",W3='Insumos y gastos'!$N$6),Productos!X3+('Insumos y gastos'!$O$15*Productos!U3),IF(AND(V3="SI",W3='Insumos y gastos'!$P$6),X3+('Insumos y gastos'!$Q$15*U3*2),IF(AND(V3="NO",W3='Insumos y gastos'!$P$6),Productos!X3+('Insumos y gastos'!$Q$15*Productos!U3),IF(AND(V3="SI",W3='Insumos y gastos'!$R$6),X3+('Insumos y gastos'!$S$15*U3*2),IF(AND(V3="NO",W3='Insumos y gastos'!$R$6),Productos!X3+('Insumos y gastos'!$S$15*Productos!U3),IF(AND(V3="SI",W3='Insumos y gastos'!$T$6),X3+('Insumos y gastos'!$U$15*U3*2),IF(AND(V3="NO",W3='Insumos y gastos'!$T$6),Productos!X3+('Insumos y gastos'!$U$15*Productos!U3),0))))))))))))</calculatedColumnFormula>
    </tableColumn>
    <tableColumn id="26" xr3:uid="{5D849AEA-2354-448B-A914-6E49CEDF8E4D}" name="Papel 4" dataDxfId="114"/>
    <tableColumn id="27" xr3:uid="{64453195-4D7C-4FF0-A412-F64C1D636C4C}" name="Costo papel 4" dataDxfId="113">
      <calculatedColumnFormula>IFERROR(VLOOKUP(Z3,Tabla1[[#All],[Nombre insumo]:[Pr. Unidad]],4,0),0)</calculatedColumnFormula>
    </tableColumn>
    <tableColumn id="28" xr3:uid="{205DDC14-5155-43B1-825E-D05F5DE35805}" name="Cantidad 4" dataDxfId="112"/>
    <tableColumn id="29" xr3:uid="{658BFE46-BE45-41A7-BB7C-3B1F5F00E63D}" name="Doble faz 4" dataDxfId="111"/>
    <tableColumn id="30" xr3:uid="{B487E9CE-E911-4363-A825-9D3F1C70BBF8}" name="Impresora 4" dataDxfId="110"/>
    <tableColumn id="31" xr3:uid="{E0783AB3-A303-4F22-9406-D32FEBA247BF}" name="Costo impresión 4" dataDxfId="109">
      <calculatedColumnFormula>AB3*AA3</calculatedColumnFormula>
    </tableColumn>
    <tableColumn id="32" xr3:uid="{5D6F2685-C083-40A1-86FF-0C51EF9607C2}" name="Subtotal impresión 4" dataDxfId="108">
      <calculatedColumnFormula>IF(AND(AC3="SI",AD3='Insumos y gastos'!$J$6),AE3+('Insumos y gastos'!$K$15*AB3*2),IF(AND(AC3="NO",AD3='Insumos y gastos'!$J$6),Productos!AE3+('Insumos y gastos'!$K$15*Productos!AB3),IF(AND(AC3="SI",AD3='Insumos y gastos'!$L$6),AE3+('Insumos y gastos'!$M$15*AB3*2),IF(AND(AC3="NO",AD3='Insumos y gastos'!$L$6),Productos!AE3+('Insumos y gastos'!$M$15*Productos!AB3),IF(AND(AC3="SI",AD3='Insumos y gastos'!$N$6),AE3+('Insumos y gastos'!$O$15*AB3*2),IF(AND(AC3="NO",AD3='Insumos y gastos'!$N$6),Productos!AE3+('Insumos y gastos'!$O$15*Productos!AB3),IF(AND(AC3="SI",AD3='Insumos y gastos'!$P$6),AE3+('Insumos y gastos'!$Q$15*AB3*2),IF(AND(AC3="NO",AD3='Insumos y gastos'!$P$6),Productos!AE3+('Insumos y gastos'!$Q$15*Productos!AB3),IF(AND(AC3="SI",AD3='Insumos y gastos'!$R$6),AE3+('Insumos y gastos'!$S$15*AB3*2),IF(AND(AC3="NO",AD3='Insumos y gastos'!$R$6),Productos!AE3+('Insumos y gastos'!$S$15*Productos!AB3),IF(AND(AC3="SI",AD3='Insumos y gastos'!$T$6),AE3+('Insumos y gastos'!$U$15*AB3*2),IF(AND(AC3="NO",AD3='Insumos y gastos'!$T$6),Productos!AE3+('Insumos y gastos'!$U$15*Productos!AB3),0))))))))))))</calculatedColumnFormula>
    </tableColumn>
    <tableColumn id="33" xr3:uid="{FB36B1B1-3B62-4624-AC69-F466E4B91234}" name="Papel 5" dataDxfId="107"/>
    <tableColumn id="34" xr3:uid="{A4B42BD4-434B-4DFF-BE1F-A14AEE046906}" name="Costo papel 5" dataDxfId="106">
      <calculatedColumnFormula>IFERROR(VLOOKUP(AG3,Tabla1[[#All],[Nombre insumo]:[Pr. Unidad]],4,0),0)</calculatedColumnFormula>
    </tableColumn>
    <tableColumn id="35" xr3:uid="{CFFCD805-BF09-49FF-AB1E-39D92D368702}" name="Cantidad 5" dataDxfId="105"/>
    <tableColumn id="36" xr3:uid="{E552A198-DB69-4B6A-9CB1-724DF9E67150}" name="Doble faz 5" dataDxfId="104"/>
    <tableColumn id="37" xr3:uid="{C3263604-127B-4DD7-BB1B-815693C4940A}" name="Impresora 5" dataDxfId="103"/>
    <tableColumn id="38" xr3:uid="{260C7A70-FAE2-4705-824E-12F65FDC747A}" name="Costo impresión 5" dataDxfId="102">
      <calculatedColumnFormula>AI3*AH3</calculatedColumnFormula>
    </tableColumn>
    <tableColumn id="39" xr3:uid="{BC14A8EF-D747-4D10-BA58-543AD372A565}" name="Subtotal impresión 5" dataDxfId="101">
      <calculatedColumnFormula>IF(AND(AJ3="SI",AK3='Insumos y gastos'!$J$6),AL3+('Insumos y gastos'!$K$15*AI3*2),IF(AND(AJ3="NO",AK3='Insumos y gastos'!$J$6),Productos!AL3+('Insumos y gastos'!$K$15*Productos!AI3),IF(AND(AJ3="SI",AK3='Insumos y gastos'!$L$6),AL3+('Insumos y gastos'!$M$15*AI3*2),IF(AND(AJ3="NO",AK3='Insumos y gastos'!$L$6),Productos!AL3+('Insumos y gastos'!$M$15*Productos!AI3),IF(AND(AJ3="SI",AK3='Insumos y gastos'!$N$6),AL3+('Insumos y gastos'!$O$15*AI3*2),IF(AND(AJ3="NO",AK3='Insumos y gastos'!$N$6),Productos!AL3+('Insumos y gastos'!$O$15*Productos!AI3),IF(AND(AJ3="SI",AK3='Insumos y gastos'!$P$6),AL3+('Insumos y gastos'!$Q$15*AI3*2),IF(AND(AJ3="NO",AK3='Insumos y gastos'!$P$6),Productos!AL3+('Insumos y gastos'!$Q$15*Productos!AI3),IF(AND(AJ3="SI",AK3='Insumos y gastos'!$R$6),AL3+('Insumos y gastos'!$S$15*AI3*2),IF(AND(AJ3="NO",AK3='Insumos y gastos'!$R$6),Productos!AL3+('Insumos y gastos'!$S$15*Productos!AI3),IF(AND(AJ3="SI",AK3='Insumos y gastos'!$T$6),AL3+('Insumos y gastos'!$U$15*AI3*2),IF(AND(AJ3="NO",AK3='Insumos y gastos'!$T$6),Productos!AL3+('Insumos y gastos'!$U$15*Productos!AI3),0))))))))))))</calculatedColumnFormula>
    </tableColumn>
    <tableColumn id="40" xr3:uid="{EE419F8C-EE61-4FC4-ACE7-3ED79DBD06E1}" name="Insumo 1" dataDxfId="100"/>
    <tableColumn id="41" xr3:uid="{9095F56A-B1F8-4FB9-B740-3A6F09C2C8C9}" name="Costo insumo 1" dataDxfId="99">
      <calculatedColumnFormula>IFERROR(VLOOKUP(AN3,Tabla1[[#All],[Nombre insumo]:[Pr. Unidad]],4,0),0)</calculatedColumnFormula>
    </tableColumn>
    <tableColumn id="42" xr3:uid="{B58528AB-FEF3-49E3-AF37-B4D8EDDABB03}" name="Cantidad insumo 1" dataDxfId="98"/>
    <tableColumn id="43" xr3:uid="{319AD4BB-DB71-420D-8054-8AC39E89E482}" name="Subtotal insumos 1" dataDxfId="97">
      <calculatedColumnFormula>IF(Tabla3[[#This Row],[Costo insumo 1]]&gt;0,Tabla3[[#This Row],[Cantidad insumo 1]]*Tabla3[[#This Row],[Costo insumo 1]],0)</calculatedColumnFormula>
    </tableColumn>
    <tableColumn id="68" xr3:uid="{0D04A573-40AB-4C05-9906-D2B3224CD0CF}" name="Insumo 2" dataDxfId="96"/>
    <tableColumn id="69" xr3:uid="{1761F287-1E35-40A4-9451-35C67DE74E1E}" name="Costo insumo 2" dataDxfId="95">
      <calculatedColumnFormula>IFERROR(VLOOKUP(AR3,Tabla1[[#All],[Nombre insumo]:[Pr. Unidad]],4,0),0)</calculatedColumnFormula>
    </tableColumn>
    <tableColumn id="70" xr3:uid="{DD7B12E4-C772-4192-84B8-CCAC0C900DA2}" name="Cantidad insumo 2" dataDxfId="94"/>
    <tableColumn id="71" xr3:uid="{0458CBA0-3E02-4C5B-9BCA-9E7BC93E56C6}" name="Subtotal insumos 2" dataDxfId="93">
      <calculatedColumnFormula>IF(Tabla3[[#This Row],[Costo insumo 2]]&gt;0,Tabla3[[#This Row],[Cantidad insumo 2]]*Tabla3[[#This Row],[Costo insumo 2]],0)</calculatedColumnFormula>
    </tableColumn>
    <tableColumn id="72" xr3:uid="{B7F0F92A-986F-416F-BED3-68C24D5522D7}" name="Insumo 3" dataDxfId="92"/>
    <tableColumn id="73" xr3:uid="{2FAFC3AB-F45D-467C-A7E5-BEC0DCE9A8EF}" name="Costo insumo 3" dataDxfId="91">
      <calculatedColumnFormula>IFERROR(VLOOKUP(AV3,Tabla1[[#All],[Nombre insumo]:[Pr. Unidad]],4,0),0)</calculatedColumnFormula>
    </tableColumn>
    <tableColumn id="74" xr3:uid="{DA0AF743-A6E9-4886-B16D-70FF54D461BD}" name="Cantidad insumo 3" dataDxfId="90"/>
    <tableColumn id="75" xr3:uid="{1061DA0F-65FA-4527-987E-CCF418BDC2F4}" name="Subtotal insumos 3" dataDxfId="89">
      <calculatedColumnFormula>IF(Tabla3[[#This Row],[Costo insumo 3]]&gt;0,Tabla3[[#This Row],[Cantidad insumo 3]]*Tabla3[[#This Row],[Costo insumo 3]],0)</calculatedColumnFormula>
    </tableColumn>
    <tableColumn id="76" xr3:uid="{0B08D952-4A43-4FE0-ABF3-D2698BCCCCE5}" name="Insumo 4" dataDxfId="88"/>
    <tableColumn id="77" xr3:uid="{DE9D9A7E-D74A-4CD3-B137-9F7969CECB5E}" name="Costo insumo 4" dataDxfId="87">
      <calculatedColumnFormula>IFERROR(VLOOKUP(AZ3,Tabla1[[#All],[Nombre insumo]:[Pr. Unidad]],4,0),0)</calculatedColumnFormula>
    </tableColumn>
    <tableColumn id="78" xr3:uid="{C29ADB95-BA61-40EB-8205-3864547BCA52}" name="Cantidad insumo 4" dataDxfId="86"/>
    <tableColumn id="79" xr3:uid="{B199BD83-FF73-4646-9C47-A431BC4128DA}" name="Subtotal insumos 4" dataDxfId="85">
      <calculatedColumnFormula>IF(Tabla3[[#This Row],[Costo insumo 4]]&gt;0,Tabla3[[#This Row],[Cantidad insumo 4]]*Tabla3[[#This Row],[Costo insumo 4]],0)</calculatedColumnFormula>
    </tableColumn>
    <tableColumn id="80" xr3:uid="{A0929FD7-D9DF-4E2F-920A-4D8F8A9F6900}" name="Insumo 5" dataDxfId="84"/>
    <tableColumn id="81" xr3:uid="{F6776148-E7A6-45F9-8397-E8B45491B87B}" name="Costo insumo 5" dataDxfId="83">
      <calculatedColumnFormula>IFERROR(VLOOKUP(BD3,Tabla1[[#All],[Nombre insumo]:[Pr. Unidad]],4,0),0)</calculatedColumnFormula>
    </tableColumn>
    <tableColumn id="82" xr3:uid="{136AE119-3F83-4BEA-B8C2-FAAE932F8DFE}" name="Cantidad insumo 5" dataDxfId="82"/>
    <tableColumn id="83" xr3:uid="{51D8B8B0-8950-47B7-9674-430725F1E4DD}" name="Subtotal insumos 5" dataDxfId="81">
      <calculatedColumnFormula>IF(Tabla3[[#This Row],[Costo insumo 5]]&gt;0,Tabla3[[#This Row],[Cantidad insumo 5]]*Tabla3[[#This Row],[Costo insumo 5]],0)</calculatedColumnFormula>
    </tableColumn>
    <tableColumn id="88" xr3:uid="{E48A8AB7-F0B5-4B7B-874F-5AB954776249}" name="Costo sin servicios" dataDxfId="80">
      <calculatedColumnFormula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calculatedColumnFormula>
    </tableColumn>
    <tableColumn id="89" xr3:uid="{08EAC4A1-0933-4A70-ADBF-4578063B0876}" name="Cantidad de horas" dataDxfId="79"/>
    <tableColumn id="91" xr3:uid="{3055BBC8-26DF-4DF5-B9E9-C787DC475C45}" name="Costo servicios" dataDxfId="78">
      <calculatedColumnFormula>BI3*'Insumos y gastos'!$M$50</calculatedColumnFormula>
    </tableColumn>
    <tableColumn id="90" xr3:uid="{0785FB07-8DA0-46C2-936F-715F2AA5379F}" name="Costo mano de obra" dataDxfId="77">
      <calculatedColumnFormula>BI3*'Insumos y gastos'!$Q$24</calculatedColumnFormula>
    </tableColumn>
    <tableColumn id="93" xr3:uid="{58E3702A-4D7B-4AD2-B4E4-1B274C2C8CF7}" name="Costo total" dataDxfId="76">
      <calculatedColumnFormula>Tabla3[[#This Row],[Costo sin servicios]]+Tabla3[[#This Row],[Costo servicios]]+Tabla3[[#This Row],[Costo mano de obra]]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CC8B-F929-46F1-9A97-693137D99B52}">
  <sheetPr>
    <tabColor rgb="FFF9B8AF"/>
  </sheetPr>
  <dimension ref="B4:W1390"/>
  <sheetViews>
    <sheetView showGridLines="0" tabSelected="1" zoomScale="80" zoomScaleNormal="80" workbookViewId="0">
      <selection activeCell="N30" sqref="N30"/>
    </sheetView>
  </sheetViews>
  <sheetFormatPr baseColWidth="10" defaultRowHeight="15" x14ac:dyDescent="0.25"/>
  <cols>
    <col min="1" max="1" width="3.140625" customWidth="1"/>
    <col min="2" max="2" width="32.28515625" hidden="1" customWidth="1"/>
    <col min="3" max="3" width="20.28515625" style="3" customWidth="1"/>
    <col min="4" max="4" width="20.28515625" customWidth="1"/>
    <col min="5" max="5" width="32.28515625" bestFit="1" customWidth="1"/>
    <col min="6" max="6" width="16.5703125" style="3" bestFit="1" customWidth="1"/>
    <col min="7" max="7" width="19.42578125" style="8" bestFit="1" customWidth="1"/>
    <col min="8" max="8" width="16" style="8" bestFit="1" customWidth="1"/>
    <col min="9" max="9" width="6.5703125" customWidth="1"/>
    <col min="10" max="10" width="20" bestFit="1" customWidth="1"/>
    <col min="11" max="11" width="15.5703125" style="3" bestFit="1" customWidth="1"/>
    <col min="12" max="12" width="18.7109375" style="1" bestFit="1" customWidth="1"/>
    <col min="13" max="13" width="16.7109375" style="3" customWidth="1"/>
    <col min="14" max="14" width="18.7109375" bestFit="1" customWidth="1"/>
    <col min="15" max="15" width="14" style="3" customWidth="1"/>
    <col min="16" max="16" width="21.28515625" customWidth="1"/>
    <col min="17" max="17" width="12.42578125" style="3" bestFit="1" customWidth="1"/>
    <col min="18" max="18" width="18.7109375" bestFit="1" customWidth="1"/>
    <col min="19" max="19" width="14.7109375" style="3" customWidth="1"/>
    <col min="20" max="20" width="20" bestFit="1" customWidth="1"/>
    <col min="21" max="21" width="14.7109375" style="3" customWidth="1"/>
    <col min="22" max="22" width="14" customWidth="1"/>
    <col min="24" max="24" width="27" bestFit="1" customWidth="1"/>
  </cols>
  <sheetData>
    <row r="4" spans="2:23" ht="34.5" customHeight="1" x14ac:dyDescent="0.35">
      <c r="C4" s="102" t="s">
        <v>34</v>
      </c>
      <c r="D4" s="102"/>
      <c r="E4" s="102"/>
      <c r="F4" s="102"/>
      <c r="G4" s="102"/>
      <c r="H4" s="102"/>
      <c r="J4" s="112" t="s">
        <v>44</v>
      </c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3"/>
    </row>
    <row r="5" spans="2:23" s="13" customFormat="1" ht="27" customHeight="1" x14ac:dyDescent="0.25">
      <c r="C5" s="104" t="s">
        <v>38</v>
      </c>
      <c r="D5" s="114"/>
      <c r="E5" s="114"/>
      <c r="F5" s="114"/>
      <c r="G5" s="114"/>
      <c r="H5" s="114"/>
      <c r="J5" s="105" t="s">
        <v>48</v>
      </c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/>
    </row>
    <row r="6" spans="2:23" ht="18" customHeight="1" x14ac:dyDescent="0.25">
      <c r="C6" s="12"/>
      <c r="D6" s="12"/>
      <c r="E6" s="12"/>
      <c r="F6" s="12"/>
      <c r="G6" s="12"/>
      <c r="H6" s="12"/>
      <c r="J6" s="111" t="s">
        <v>140</v>
      </c>
      <c r="K6" s="111"/>
      <c r="L6" s="111" t="s">
        <v>140</v>
      </c>
      <c r="M6" s="111"/>
      <c r="N6" s="111" t="s">
        <v>140</v>
      </c>
      <c r="O6" s="111"/>
      <c r="P6" s="111" t="s">
        <v>141</v>
      </c>
      <c r="Q6" s="111"/>
      <c r="R6" s="111" t="s">
        <v>141</v>
      </c>
      <c r="S6" s="111"/>
      <c r="T6" s="111" t="s">
        <v>140</v>
      </c>
      <c r="U6" s="111"/>
    </row>
    <row r="7" spans="2:23" ht="18" customHeight="1" x14ac:dyDescent="0.25">
      <c r="C7" s="12"/>
      <c r="D7" s="12"/>
      <c r="E7" s="12"/>
      <c r="F7" s="12"/>
      <c r="G7" s="12"/>
      <c r="H7" s="12"/>
      <c r="J7" s="18" t="s">
        <v>8</v>
      </c>
      <c r="K7" s="19" t="s">
        <v>9</v>
      </c>
      <c r="L7" s="20" t="s">
        <v>8</v>
      </c>
      <c r="M7" s="21" t="s">
        <v>9</v>
      </c>
      <c r="N7" s="20" t="s">
        <v>8</v>
      </c>
      <c r="O7" s="20" t="s">
        <v>9</v>
      </c>
      <c r="P7" s="20" t="s">
        <v>8</v>
      </c>
      <c r="Q7" s="20" t="s">
        <v>9</v>
      </c>
      <c r="R7" s="20" t="s">
        <v>8</v>
      </c>
      <c r="S7" s="20" t="s">
        <v>9</v>
      </c>
      <c r="T7" s="20" t="s">
        <v>8</v>
      </c>
      <c r="U7" s="20" t="s">
        <v>9</v>
      </c>
    </row>
    <row r="8" spans="2:23" ht="18" customHeight="1" x14ac:dyDescent="0.25">
      <c r="C8" s="12"/>
      <c r="D8" s="12"/>
      <c r="E8" s="12"/>
      <c r="F8" s="12"/>
      <c r="G8" s="12"/>
      <c r="H8" s="12"/>
      <c r="J8" s="5" t="s">
        <v>142</v>
      </c>
      <c r="K8" s="27"/>
      <c r="L8" s="5" t="s">
        <v>142</v>
      </c>
      <c r="M8" s="27"/>
      <c r="N8" t="s">
        <v>142</v>
      </c>
      <c r="O8" s="27"/>
      <c r="P8" t="s">
        <v>142</v>
      </c>
      <c r="Q8" s="27"/>
      <c r="R8" t="s">
        <v>142</v>
      </c>
      <c r="S8" s="27"/>
      <c r="T8" t="s">
        <v>142</v>
      </c>
      <c r="U8" s="27"/>
    </row>
    <row r="9" spans="2:23" ht="18" customHeight="1" x14ac:dyDescent="0.25">
      <c r="C9" s="12"/>
      <c r="D9" s="12"/>
      <c r="E9" s="12"/>
      <c r="F9" s="12"/>
      <c r="G9" s="12"/>
      <c r="H9" s="12"/>
      <c r="J9" s="5" t="s">
        <v>143</v>
      </c>
      <c r="K9" s="27"/>
      <c r="L9" s="5" t="s">
        <v>143</v>
      </c>
      <c r="M9" s="27"/>
      <c r="N9" t="s">
        <v>143</v>
      </c>
      <c r="O9" s="27"/>
      <c r="P9" t="s">
        <v>143</v>
      </c>
      <c r="Q9" s="27"/>
      <c r="R9" t="s">
        <v>143</v>
      </c>
      <c r="S9" s="27"/>
      <c r="T9" t="s">
        <v>143</v>
      </c>
      <c r="U9" s="27"/>
    </row>
    <row r="10" spans="2:23" ht="18" customHeight="1" x14ac:dyDescent="0.25">
      <c r="C10" s="12"/>
      <c r="D10" s="12"/>
      <c r="E10" s="12"/>
      <c r="F10" s="12"/>
      <c r="G10" s="12"/>
      <c r="H10" s="12"/>
      <c r="J10" s="5" t="s">
        <v>144</v>
      </c>
      <c r="K10" s="27"/>
      <c r="L10" s="5" t="s">
        <v>144</v>
      </c>
      <c r="M10" s="27"/>
      <c r="N10" s="5" t="s">
        <v>144</v>
      </c>
      <c r="O10" s="27"/>
      <c r="P10" t="s">
        <v>144</v>
      </c>
      <c r="Q10" s="27"/>
      <c r="R10" t="s">
        <v>144</v>
      </c>
      <c r="S10" s="27"/>
      <c r="T10" t="s">
        <v>144</v>
      </c>
      <c r="U10" s="27"/>
    </row>
    <row r="11" spans="2:23" ht="18" customHeight="1" x14ac:dyDescent="0.25">
      <c r="C11" s="12"/>
      <c r="D11" s="12"/>
      <c r="E11" s="12"/>
      <c r="F11" s="12"/>
      <c r="G11" s="12"/>
      <c r="H11" s="12"/>
      <c r="J11" s="5" t="s">
        <v>41</v>
      </c>
      <c r="K11" s="28"/>
      <c r="L11" s="5" t="s">
        <v>41</v>
      </c>
      <c r="M11" s="27"/>
      <c r="N11" t="s">
        <v>41</v>
      </c>
      <c r="O11" s="27"/>
      <c r="P11" t="s">
        <v>41</v>
      </c>
      <c r="Q11" s="27"/>
      <c r="R11" t="s">
        <v>41</v>
      </c>
      <c r="S11" s="27"/>
      <c r="T11" t="s">
        <v>41</v>
      </c>
      <c r="U11" s="27"/>
    </row>
    <row r="12" spans="2:23" x14ac:dyDescent="0.25">
      <c r="H12" s="4"/>
      <c r="J12" s="15" t="s">
        <v>12</v>
      </c>
      <c r="K12" s="16">
        <f>SUM(K8:K11)</f>
        <v>0</v>
      </c>
      <c r="L12" s="15" t="s">
        <v>12</v>
      </c>
      <c r="M12" s="16">
        <f>SUM(M8:M11)</f>
        <v>0</v>
      </c>
      <c r="N12" s="22" t="s">
        <v>12</v>
      </c>
      <c r="O12" s="16">
        <f>SUM(O8:O11)</f>
        <v>0</v>
      </c>
      <c r="P12" s="22" t="s">
        <v>12</v>
      </c>
      <c r="Q12" s="16">
        <f>SUM(Q8:Q11)</f>
        <v>0</v>
      </c>
      <c r="R12" s="22" t="s">
        <v>12</v>
      </c>
      <c r="S12" s="16">
        <f>SUM(S8:S11)</f>
        <v>0</v>
      </c>
      <c r="T12" s="22" t="s">
        <v>12</v>
      </c>
      <c r="U12" s="16">
        <f>SUM(U8:U11)</f>
        <v>0</v>
      </c>
    </row>
    <row r="13" spans="2:23" s="3" customFormat="1" ht="30.75" customHeight="1" x14ac:dyDescent="0.25">
      <c r="C13" s="23" t="s">
        <v>1</v>
      </c>
      <c r="D13" s="24" t="s">
        <v>5</v>
      </c>
      <c r="E13" s="24" t="s">
        <v>2</v>
      </c>
      <c r="F13" s="24" t="s">
        <v>3</v>
      </c>
      <c r="G13" s="25" t="s">
        <v>35</v>
      </c>
      <c r="H13" s="26" t="s">
        <v>4</v>
      </c>
      <c r="J13" s="11" t="s">
        <v>42</v>
      </c>
      <c r="K13" s="63"/>
      <c r="L13" s="7" t="s">
        <v>42</v>
      </c>
      <c r="M13" s="63"/>
      <c r="N13" s="11" t="s">
        <v>42</v>
      </c>
      <c r="O13" s="63"/>
      <c r="P13" s="11" t="s">
        <v>42</v>
      </c>
      <c r="Q13" s="63"/>
      <c r="R13" s="11" t="s">
        <v>42</v>
      </c>
      <c r="S13" s="63"/>
      <c r="T13" s="11" t="s">
        <v>42</v>
      </c>
      <c r="U13" s="11"/>
      <c r="V13" s="29"/>
      <c r="W13" s="11"/>
    </row>
    <row r="14" spans="2:23" x14ac:dyDescent="0.25">
      <c r="B14" s="2" t="str">
        <f>Tabla1[[#This Row],[Nombre insumo]]</f>
        <v>Boreal Obra 80gr</v>
      </c>
      <c r="C14" s="64" t="s">
        <v>0</v>
      </c>
      <c r="D14" s="14" t="s">
        <v>6</v>
      </c>
      <c r="E14" s="14" t="s">
        <v>36</v>
      </c>
      <c r="F14" s="64">
        <v>500</v>
      </c>
      <c r="G14" s="65">
        <v>6683</v>
      </c>
      <c r="H14" s="127">
        <f>Tabla1[[#This Row],[Pr. costo bulto]]/Tabla1[[#This Row],[Cant. Bulto]]</f>
        <v>13.366</v>
      </c>
      <c r="J14" s="30" t="s">
        <v>11</v>
      </c>
      <c r="K14" s="31" t="e">
        <f>K12/K13</f>
        <v>#DIV/0!</v>
      </c>
      <c r="L14" s="32" t="s">
        <v>11</v>
      </c>
      <c r="M14" s="31" t="e">
        <f>M12/M13</f>
        <v>#DIV/0!</v>
      </c>
      <c r="N14" s="33" t="s">
        <v>11</v>
      </c>
      <c r="O14" s="31" t="e">
        <f>O12/O13</f>
        <v>#DIV/0!</v>
      </c>
      <c r="P14" s="33" t="s">
        <v>11</v>
      </c>
      <c r="Q14" s="31" t="e">
        <f>Q12/Q13</f>
        <v>#DIV/0!</v>
      </c>
      <c r="R14" s="33" t="s">
        <v>11</v>
      </c>
      <c r="S14" s="31" t="e">
        <f>S12/S13</f>
        <v>#DIV/0!</v>
      </c>
      <c r="T14" s="33" t="s">
        <v>11</v>
      </c>
      <c r="U14" s="31" t="e">
        <f>U12/U13</f>
        <v>#DIV/0!</v>
      </c>
    </row>
    <row r="15" spans="2:23" x14ac:dyDescent="0.25">
      <c r="B15" s="2">
        <f>Tabla1[[#This Row],[Nombre insumo]]</f>
        <v>0</v>
      </c>
      <c r="C15" s="64"/>
      <c r="D15" s="14"/>
      <c r="E15" s="14"/>
      <c r="F15" s="64"/>
      <c r="G15" s="65"/>
      <c r="H15" s="127" t="e">
        <f>Tabla1[[#This Row],[Pr. costo bulto]]/Tabla1[[#This Row],[Cant. Bulto]]</f>
        <v>#DIV/0!</v>
      </c>
      <c r="J15" s="5" t="s">
        <v>14</v>
      </c>
      <c r="K15" s="27"/>
      <c r="L15" s="1" t="s">
        <v>14</v>
      </c>
      <c r="M15" s="27"/>
      <c r="N15" t="s">
        <v>14</v>
      </c>
      <c r="O15" s="27"/>
      <c r="P15" t="s">
        <v>14</v>
      </c>
      <c r="Q15" s="27"/>
      <c r="R15" t="s">
        <v>14</v>
      </c>
      <c r="S15" s="27"/>
      <c r="T15" t="s">
        <v>14</v>
      </c>
      <c r="U15" s="6"/>
    </row>
    <row r="16" spans="2:23" x14ac:dyDescent="0.25">
      <c r="B16" s="2">
        <f>Tabla1[[#This Row],[Nombre insumo]]</f>
        <v>0</v>
      </c>
      <c r="C16" s="64"/>
      <c r="D16" s="14"/>
      <c r="E16" s="14"/>
      <c r="F16" s="64"/>
      <c r="G16" s="65"/>
      <c r="H16" s="127" t="e">
        <f>Tabla1[[#This Row],[Pr. costo bulto]]/Tabla1[[#This Row],[Cant. Bulto]]</f>
        <v>#DIV/0!</v>
      </c>
    </row>
    <row r="17" spans="2:21" x14ac:dyDescent="0.25">
      <c r="B17" s="2">
        <f>Tabla1[[#This Row],[Nombre insumo]]</f>
        <v>0</v>
      </c>
      <c r="C17" s="64"/>
      <c r="D17" s="14"/>
      <c r="E17" s="14"/>
      <c r="F17" s="64"/>
      <c r="G17" s="65"/>
      <c r="H17" s="127" t="e">
        <f>Tabla1[[#This Row],[Pr. costo bulto]]/Tabla1[[#This Row],[Cant. Bulto]]</f>
        <v>#DIV/0!</v>
      </c>
    </row>
    <row r="18" spans="2:21" x14ac:dyDescent="0.25">
      <c r="B18" s="2">
        <f>Tabla1[[#This Row],[Nombre insumo]]</f>
        <v>0</v>
      </c>
      <c r="C18" s="64"/>
      <c r="D18" s="14"/>
      <c r="E18" s="14"/>
      <c r="F18" s="64"/>
      <c r="G18" s="65"/>
      <c r="H18" s="127" t="e">
        <f>Tabla1[[#This Row],[Pr. costo bulto]]/Tabla1[[#This Row],[Cant. Bulto]]</f>
        <v>#DIV/0!</v>
      </c>
    </row>
    <row r="19" spans="2:21" ht="15" customHeight="1" x14ac:dyDescent="0.35">
      <c r="B19" s="2">
        <f>Tabla1[[#This Row],[Nombre insumo]]</f>
        <v>0</v>
      </c>
      <c r="C19" s="64"/>
      <c r="D19" s="14"/>
      <c r="E19" s="14"/>
      <c r="F19" s="64"/>
      <c r="G19" s="65"/>
      <c r="H19" s="127" t="e">
        <f>Tabla1[[#This Row],[Pr. costo bulto]]/Tabla1[[#This Row],[Cant. Bulto]]</f>
        <v>#DIV/0!</v>
      </c>
      <c r="L19" s="34"/>
      <c r="M19" s="34"/>
      <c r="N19" s="34"/>
      <c r="O19" s="34"/>
    </row>
    <row r="20" spans="2:21" ht="15" customHeight="1" x14ac:dyDescent="0.35">
      <c r="B20" s="2">
        <f>Tabla1[[#This Row],[Nombre insumo]]</f>
        <v>0</v>
      </c>
      <c r="C20" s="64"/>
      <c r="D20" s="14"/>
      <c r="E20" s="14"/>
      <c r="F20" s="64"/>
      <c r="G20" s="65"/>
      <c r="H20" s="127" t="e">
        <f>Tabla1[[#This Row],[Pr. costo bulto]]/Tabla1[[#This Row],[Cant. Bulto]]</f>
        <v>#DIV/0!</v>
      </c>
      <c r="J20" s="109" t="s">
        <v>37</v>
      </c>
      <c r="K20" s="110"/>
      <c r="L20" s="110"/>
      <c r="M20" s="110"/>
      <c r="N20" s="37"/>
      <c r="O20" s="38"/>
      <c r="P20" s="101" t="s">
        <v>31</v>
      </c>
      <c r="Q20" s="102"/>
      <c r="R20" s="34"/>
    </row>
    <row r="21" spans="2:21" ht="15" customHeight="1" x14ac:dyDescent="0.35">
      <c r="B21" s="2">
        <f>Tabla1[[#This Row],[Nombre insumo]]</f>
        <v>0</v>
      </c>
      <c r="C21" s="64"/>
      <c r="D21" s="14"/>
      <c r="E21" s="14"/>
      <c r="F21" s="64"/>
      <c r="G21" s="65"/>
      <c r="H21" s="127" t="e">
        <f>Tabla1[[#This Row],[Pr. costo bulto]]/Tabla1[[#This Row],[Cant. Bulto]]</f>
        <v>#DIV/0!</v>
      </c>
      <c r="J21" s="101"/>
      <c r="K21" s="102"/>
      <c r="L21" s="102"/>
      <c r="M21" s="102"/>
      <c r="N21" s="34"/>
      <c r="O21" s="39"/>
      <c r="P21" s="101"/>
      <c r="Q21" s="102"/>
      <c r="R21" s="34"/>
      <c r="S21"/>
      <c r="U21"/>
    </row>
    <row r="22" spans="2:21" ht="15.75" customHeight="1" x14ac:dyDescent="0.25">
      <c r="B22" s="2">
        <f>Tabla1[[#This Row],[Nombre insumo]]</f>
        <v>0</v>
      </c>
      <c r="C22" s="64"/>
      <c r="D22" s="14"/>
      <c r="E22" s="14"/>
      <c r="F22" s="64"/>
      <c r="G22" s="65"/>
      <c r="H22" s="127" t="e">
        <f>Tabla1[[#This Row],[Pr. costo bulto]]/Tabla1[[#This Row],[Cant. Bulto]]</f>
        <v>#DIV/0!</v>
      </c>
      <c r="J22" s="103" t="s">
        <v>47</v>
      </c>
      <c r="K22" s="104"/>
      <c r="L22" s="104"/>
      <c r="M22" s="104"/>
      <c r="N22" s="40"/>
      <c r="O22" s="41"/>
      <c r="P22" s="103" t="s">
        <v>57</v>
      </c>
      <c r="Q22" s="104"/>
      <c r="R22" s="40"/>
    </row>
    <row r="23" spans="2:21" x14ac:dyDescent="0.25">
      <c r="B23" s="2">
        <f>Tabla1[[#This Row],[Nombre insumo]]</f>
        <v>0</v>
      </c>
      <c r="C23" s="64"/>
      <c r="D23" s="14"/>
      <c r="E23" s="14"/>
      <c r="F23" s="64"/>
      <c r="G23" s="65"/>
      <c r="H23" s="127" t="e">
        <f>Tabla1[[#This Row],[Pr. costo bulto]]/Tabla1[[#This Row],[Cant. Bulto]]</f>
        <v>#DIV/0!</v>
      </c>
      <c r="J23" s="105"/>
      <c r="K23" s="106"/>
      <c r="L23" s="106"/>
      <c r="M23" s="106"/>
      <c r="N23" s="42"/>
      <c r="O23" s="43"/>
      <c r="P23" s="105"/>
      <c r="Q23" s="106"/>
      <c r="R23" s="40"/>
    </row>
    <row r="24" spans="2:21" x14ac:dyDescent="0.25">
      <c r="B24" s="2">
        <f>Tabla1[[#This Row],[Nombre insumo]]</f>
        <v>0</v>
      </c>
      <c r="C24" s="64"/>
      <c r="D24" s="14"/>
      <c r="E24" s="14"/>
      <c r="F24" s="64"/>
      <c r="G24" s="65"/>
      <c r="H24" s="127" t="e">
        <f>Tabla1[[#This Row],[Pr. costo bulto]]/Tabla1[[#This Row],[Cant. Bulto]]</f>
        <v>#DIV/0!</v>
      </c>
      <c r="J24" s="35" t="s">
        <v>45</v>
      </c>
      <c r="K24" s="35" t="s">
        <v>46</v>
      </c>
      <c r="L24" s="36" t="s">
        <v>13</v>
      </c>
      <c r="M24" s="35" t="s">
        <v>49</v>
      </c>
      <c r="P24" s="17" t="s">
        <v>58</v>
      </c>
      <c r="Q24" s="72"/>
      <c r="R24" s="73"/>
    </row>
    <row r="25" spans="2:21" x14ac:dyDescent="0.25">
      <c r="B25" s="2">
        <f>Tabla1[[#This Row],[Nombre insumo]]</f>
        <v>0</v>
      </c>
      <c r="C25" s="64"/>
      <c r="D25" s="14"/>
      <c r="E25" s="14"/>
      <c r="F25" s="64"/>
      <c r="G25" s="65"/>
      <c r="H25" s="127" t="e">
        <f>Tabla1[[#This Row],[Pr. costo bulto]]/Tabla1[[#This Row],[Cant. Bulto]]</f>
        <v>#DIV/0!</v>
      </c>
      <c r="J25" s="64" t="s">
        <v>51</v>
      </c>
      <c r="K25" s="27"/>
      <c r="L25" s="128">
        <f>K25/30</f>
        <v>0</v>
      </c>
      <c r="M25" s="129">
        <f>L25/10</f>
        <v>0</v>
      </c>
      <c r="P25" s="17" t="s">
        <v>62</v>
      </c>
      <c r="Q25" s="125">
        <f>Q24*10</f>
        <v>0</v>
      </c>
      <c r="R25" s="74"/>
    </row>
    <row r="26" spans="2:21" x14ac:dyDescent="0.25">
      <c r="B26" s="2">
        <f>Tabla1[[#This Row],[Nombre insumo]]</f>
        <v>0</v>
      </c>
      <c r="C26" s="64"/>
      <c r="D26" s="14"/>
      <c r="E26" s="14"/>
      <c r="F26" s="64"/>
      <c r="G26" s="65"/>
      <c r="H26" s="127" t="e">
        <f>Tabla1[[#This Row],[Pr. costo bulto]]/Tabla1[[#This Row],[Cant. Bulto]]</f>
        <v>#DIV/0!</v>
      </c>
      <c r="J26" s="64" t="s">
        <v>51</v>
      </c>
      <c r="K26" s="27"/>
      <c r="L26" s="128">
        <f t="shared" ref="L26:L49" si="0">K26/30</f>
        <v>0</v>
      </c>
      <c r="M26" s="129">
        <f t="shared" ref="M26:M49" si="1">L26/10</f>
        <v>0</v>
      </c>
      <c r="P26" s="17" t="s">
        <v>59</v>
      </c>
      <c r="Q26" s="126">
        <f>Q25*5</f>
        <v>0</v>
      </c>
    </row>
    <row r="27" spans="2:21" x14ac:dyDescent="0.25">
      <c r="B27" s="2">
        <f>Tabla1[[#This Row],[Nombre insumo]]</f>
        <v>0</v>
      </c>
      <c r="C27" s="64"/>
      <c r="D27" s="14"/>
      <c r="E27" s="14"/>
      <c r="F27" s="64"/>
      <c r="G27" s="65"/>
      <c r="H27" s="127" t="e">
        <f>Tabla1[[#This Row],[Pr. costo bulto]]/Tabla1[[#This Row],[Cant. Bulto]]</f>
        <v>#DIV/0!</v>
      </c>
      <c r="J27" s="64" t="s">
        <v>51</v>
      </c>
      <c r="K27" s="27"/>
      <c r="L27" s="128">
        <f t="shared" si="0"/>
        <v>0</v>
      </c>
      <c r="M27" s="129">
        <f t="shared" si="1"/>
        <v>0</v>
      </c>
      <c r="P27" s="17" t="s">
        <v>60</v>
      </c>
      <c r="Q27" s="126">
        <f>Q25*20</f>
        <v>0</v>
      </c>
    </row>
    <row r="28" spans="2:21" x14ac:dyDescent="0.25">
      <c r="B28" s="2">
        <f>Tabla1[[#This Row],[Nombre insumo]]</f>
        <v>0</v>
      </c>
      <c r="C28" s="64"/>
      <c r="D28" s="14"/>
      <c r="E28" s="14"/>
      <c r="F28" s="64"/>
      <c r="G28" s="65"/>
      <c r="H28" s="127" t="e">
        <f>Tabla1[[#This Row],[Pr. costo bulto]]/Tabla1[[#This Row],[Cant. Bulto]]</f>
        <v>#DIV/0!</v>
      </c>
      <c r="J28" s="64" t="s">
        <v>51</v>
      </c>
      <c r="K28" s="27"/>
      <c r="L28" s="128">
        <f t="shared" si="0"/>
        <v>0</v>
      </c>
      <c r="M28" s="129">
        <f t="shared" si="1"/>
        <v>0</v>
      </c>
      <c r="P28" s="44" t="s">
        <v>61</v>
      </c>
    </row>
    <row r="29" spans="2:21" x14ac:dyDescent="0.25">
      <c r="B29" s="2">
        <f>Tabla1[[#This Row],[Nombre insumo]]</f>
        <v>0</v>
      </c>
      <c r="C29" s="64"/>
      <c r="D29" s="14"/>
      <c r="E29" s="14"/>
      <c r="F29" s="64"/>
      <c r="G29" s="65"/>
      <c r="H29" s="127" t="e">
        <f>Tabla1[[#This Row],[Pr. costo bulto]]/Tabla1[[#This Row],[Cant. Bulto]]</f>
        <v>#DIV/0!</v>
      </c>
      <c r="J29" s="64" t="s">
        <v>51</v>
      </c>
      <c r="K29" s="27"/>
      <c r="L29" s="128">
        <f t="shared" si="0"/>
        <v>0</v>
      </c>
      <c r="M29" s="129">
        <f t="shared" si="1"/>
        <v>0</v>
      </c>
      <c r="P29" s="66"/>
    </row>
    <row r="30" spans="2:21" x14ac:dyDescent="0.25">
      <c r="B30" s="2">
        <f>Tabla1[[#This Row],[Nombre insumo]]</f>
        <v>0</v>
      </c>
      <c r="C30" s="64"/>
      <c r="D30" s="14"/>
      <c r="E30" s="14"/>
      <c r="F30" s="64"/>
      <c r="G30" s="65"/>
      <c r="H30" s="127" t="e">
        <f>Tabla1[[#This Row],[Pr. costo bulto]]/Tabla1[[#This Row],[Cant. Bulto]]</f>
        <v>#DIV/0!</v>
      </c>
      <c r="J30" s="64" t="s">
        <v>51</v>
      </c>
      <c r="K30" s="27"/>
      <c r="L30" s="128">
        <f t="shared" si="0"/>
        <v>0</v>
      </c>
      <c r="M30" s="129">
        <f t="shared" si="1"/>
        <v>0</v>
      </c>
      <c r="P30" s="66"/>
    </row>
    <row r="31" spans="2:21" x14ac:dyDescent="0.25">
      <c r="B31" s="2">
        <f>Tabla1[[#This Row],[Nombre insumo]]</f>
        <v>0</v>
      </c>
      <c r="C31" s="64"/>
      <c r="D31" s="14"/>
      <c r="E31" s="14"/>
      <c r="F31" s="64"/>
      <c r="G31" s="65"/>
      <c r="H31" s="127" t="e">
        <f>Tabla1[[#This Row],[Pr. costo bulto]]/Tabla1[[#This Row],[Cant. Bulto]]</f>
        <v>#DIV/0!</v>
      </c>
      <c r="J31" s="64" t="s">
        <v>51</v>
      </c>
      <c r="K31" s="27"/>
      <c r="L31" s="128">
        <f t="shared" si="0"/>
        <v>0</v>
      </c>
      <c r="M31" s="129">
        <f t="shared" si="1"/>
        <v>0</v>
      </c>
      <c r="P31" s="66"/>
    </row>
    <row r="32" spans="2:21" x14ac:dyDescent="0.25">
      <c r="B32" s="2">
        <f>Tabla1[[#This Row],[Nombre insumo]]</f>
        <v>0</v>
      </c>
      <c r="C32" s="64"/>
      <c r="D32" s="14"/>
      <c r="E32" s="14"/>
      <c r="F32" s="64"/>
      <c r="G32" s="65"/>
      <c r="H32" s="127" t="e">
        <f>Tabla1[[#This Row],[Pr. costo bulto]]/Tabla1[[#This Row],[Cant. Bulto]]</f>
        <v>#DIV/0!</v>
      </c>
      <c r="J32" s="64" t="s">
        <v>51</v>
      </c>
      <c r="K32" s="27"/>
      <c r="L32" s="128">
        <f t="shared" si="0"/>
        <v>0</v>
      </c>
      <c r="M32" s="129">
        <f t="shared" si="1"/>
        <v>0</v>
      </c>
      <c r="P32" s="66"/>
    </row>
    <row r="33" spans="2:19" x14ac:dyDescent="0.25">
      <c r="B33" s="2">
        <f>Tabla1[[#This Row],[Nombre insumo]]</f>
        <v>0</v>
      </c>
      <c r="C33" s="64"/>
      <c r="D33" s="14"/>
      <c r="E33" s="14"/>
      <c r="F33" s="64"/>
      <c r="G33" s="65"/>
      <c r="H33" s="127" t="e">
        <f>Tabla1[[#This Row],[Pr. costo bulto]]/Tabla1[[#This Row],[Cant. Bulto]]</f>
        <v>#DIV/0!</v>
      </c>
      <c r="J33" s="64" t="s">
        <v>51</v>
      </c>
      <c r="K33" s="27"/>
      <c r="L33" s="128">
        <f t="shared" si="0"/>
        <v>0</v>
      </c>
      <c r="M33" s="129">
        <f t="shared" si="1"/>
        <v>0</v>
      </c>
      <c r="P33" s="66"/>
    </row>
    <row r="34" spans="2:19" x14ac:dyDescent="0.25">
      <c r="B34" s="2">
        <f>Tabla1[[#This Row],[Nombre insumo]]</f>
        <v>0</v>
      </c>
      <c r="C34" s="64"/>
      <c r="D34" s="14"/>
      <c r="E34" s="14"/>
      <c r="F34" s="64"/>
      <c r="G34" s="65"/>
      <c r="H34" s="127" t="e">
        <f>Tabla1[[#This Row],[Pr. costo bulto]]/Tabla1[[#This Row],[Cant. Bulto]]</f>
        <v>#DIV/0!</v>
      </c>
      <c r="J34" s="64" t="s">
        <v>51</v>
      </c>
      <c r="K34" s="27"/>
      <c r="L34" s="128">
        <f t="shared" si="0"/>
        <v>0</v>
      </c>
      <c r="M34" s="129">
        <f t="shared" si="1"/>
        <v>0</v>
      </c>
      <c r="P34" s="66"/>
    </row>
    <row r="35" spans="2:19" x14ac:dyDescent="0.25">
      <c r="B35" s="2">
        <f>Tabla1[[#This Row],[Nombre insumo]]</f>
        <v>0</v>
      </c>
      <c r="C35" s="64"/>
      <c r="D35" s="14"/>
      <c r="E35" s="14"/>
      <c r="F35" s="64"/>
      <c r="G35" s="65"/>
      <c r="H35" s="127" t="e">
        <f>Tabla1[[#This Row],[Pr. costo bulto]]/Tabla1[[#This Row],[Cant. Bulto]]</f>
        <v>#DIV/0!</v>
      </c>
      <c r="J35" s="64" t="s">
        <v>51</v>
      </c>
      <c r="K35" s="27"/>
      <c r="L35" s="128">
        <f t="shared" si="0"/>
        <v>0</v>
      </c>
      <c r="M35" s="129">
        <f t="shared" si="1"/>
        <v>0</v>
      </c>
      <c r="P35" s="66"/>
    </row>
    <row r="36" spans="2:19" x14ac:dyDescent="0.25">
      <c r="B36" s="2">
        <f>Tabla1[[#This Row],[Nombre insumo]]</f>
        <v>0</v>
      </c>
      <c r="C36" s="64"/>
      <c r="D36" s="14"/>
      <c r="E36" s="14"/>
      <c r="F36" s="64"/>
      <c r="G36" s="65"/>
      <c r="H36" s="127" t="e">
        <f>Tabla1[[#This Row],[Pr. costo bulto]]/Tabla1[[#This Row],[Cant. Bulto]]</f>
        <v>#DIV/0!</v>
      </c>
      <c r="J36" s="64" t="s">
        <v>51</v>
      </c>
      <c r="K36" s="27"/>
      <c r="L36" s="128">
        <f t="shared" si="0"/>
        <v>0</v>
      </c>
      <c r="M36" s="129">
        <f t="shared" si="1"/>
        <v>0</v>
      </c>
      <c r="P36" s="66"/>
    </row>
    <row r="37" spans="2:19" x14ac:dyDescent="0.25">
      <c r="B37" s="2">
        <f>Tabla1[[#This Row],[Nombre insumo]]</f>
        <v>0</v>
      </c>
      <c r="C37" s="64"/>
      <c r="D37" s="14"/>
      <c r="E37" s="14"/>
      <c r="F37" s="64"/>
      <c r="G37" s="65"/>
      <c r="H37" s="127" t="e">
        <f>Tabla1[[#This Row],[Pr. costo bulto]]/Tabla1[[#This Row],[Cant. Bulto]]</f>
        <v>#DIV/0!</v>
      </c>
      <c r="J37" s="64" t="s">
        <v>51</v>
      </c>
      <c r="K37" s="27"/>
      <c r="L37" s="128">
        <f t="shared" si="0"/>
        <v>0</v>
      </c>
      <c r="M37" s="129">
        <f t="shared" si="1"/>
        <v>0</v>
      </c>
      <c r="P37" s="66"/>
    </row>
    <row r="38" spans="2:19" x14ac:dyDescent="0.25">
      <c r="B38" s="2">
        <f>Tabla1[[#This Row],[Nombre insumo]]</f>
        <v>0</v>
      </c>
      <c r="C38" s="64"/>
      <c r="D38" s="14"/>
      <c r="E38" s="14"/>
      <c r="F38" s="64"/>
      <c r="G38" s="65"/>
      <c r="H38" s="127" t="e">
        <f>Tabla1[[#This Row],[Pr. costo bulto]]/Tabla1[[#This Row],[Cant. Bulto]]</f>
        <v>#DIV/0!</v>
      </c>
      <c r="J38" s="64" t="s">
        <v>51</v>
      </c>
      <c r="K38" s="27"/>
      <c r="L38" s="128">
        <f t="shared" si="0"/>
        <v>0</v>
      </c>
      <c r="M38" s="129">
        <f t="shared" si="1"/>
        <v>0</v>
      </c>
      <c r="P38" s="66"/>
    </row>
    <row r="39" spans="2:19" x14ac:dyDescent="0.25">
      <c r="B39" s="2">
        <f>Tabla1[[#This Row],[Nombre insumo]]</f>
        <v>0</v>
      </c>
      <c r="C39" s="64"/>
      <c r="D39" s="14"/>
      <c r="E39" s="14"/>
      <c r="F39" s="64"/>
      <c r="G39" s="65"/>
      <c r="H39" s="127" t="e">
        <f>Tabla1[[#This Row],[Pr. costo bulto]]/Tabla1[[#This Row],[Cant. Bulto]]</f>
        <v>#DIV/0!</v>
      </c>
      <c r="J39" s="64" t="s">
        <v>51</v>
      </c>
      <c r="K39" s="27"/>
      <c r="L39" s="128">
        <f t="shared" si="0"/>
        <v>0</v>
      </c>
      <c r="M39" s="129">
        <f t="shared" si="1"/>
        <v>0</v>
      </c>
    </row>
    <row r="40" spans="2:19" x14ac:dyDescent="0.25">
      <c r="B40" s="2">
        <f>Tabla1[[#This Row],[Nombre insumo]]</f>
        <v>0</v>
      </c>
      <c r="C40" s="64"/>
      <c r="D40" s="14"/>
      <c r="E40" s="14"/>
      <c r="F40" s="64"/>
      <c r="G40" s="65"/>
      <c r="H40" s="127" t="e">
        <f>Tabla1[[#This Row],[Pr. costo bulto]]/Tabla1[[#This Row],[Cant. Bulto]]</f>
        <v>#DIV/0!</v>
      </c>
      <c r="J40" s="64" t="s">
        <v>51</v>
      </c>
      <c r="K40" s="27"/>
      <c r="L40" s="128">
        <f t="shared" si="0"/>
        <v>0</v>
      </c>
      <c r="M40" s="129">
        <f t="shared" si="1"/>
        <v>0</v>
      </c>
    </row>
    <row r="41" spans="2:19" x14ac:dyDescent="0.25">
      <c r="B41" s="2">
        <f>Tabla1[[#This Row],[Nombre insumo]]</f>
        <v>0</v>
      </c>
      <c r="C41" s="64"/>
      <c r="D41" s="14"/>
      <c r="E41" s="14"/>
      <c r="F41" s="64"/>
      <c r="G41" s="65"/>
      <c r="H41" s="127" t="e">
        <f>Tabla1[[#This Row],[Pr. costo bulto]]/Tabla1[[#This Row],[Cant. Bulto]]</f>
        <v>#DIV/0!</v>
      </c>
      <c r="J41" s="64" t="s">
        <v>51</v>
      </c>
      <c r="K41" s="27"/>
      <c r="L41" s="128">
        <f t="shared" si="0"/>
        <v>0</v>
      </c>
      <c r="M41" s="129">
        <f t="shared" si="1"/>
        <v>0</v>
      </c>
      <c r="Q41" s="107"/>
      <c r="R41" s="107"/>
      <c r="S41" s="107"/>
    </row>
    <row r="42" spans="2:19" x14ac:dyDescent="0.25">
      <c r="B42" s="2">
        <f>Tabla1[[#This Row],[Nombre insumo]]</f>
        <v>0</v>
      </c>
      <c r="C42" s="64"/>
      <c r="D42" s="14"/>
      <c r="E42" s="14"/>
      <c r="F42" s="64"/>
      <c r="G42" s="65"/>
      <c r="H42" s="127" t="e">
        <f>Tabla1[[#This Row],[Pr. costo bulto]]/Tabla1[[#This Row],[Cant. Bulto]]</f>
        <v>#DIV/0!</v>
      </c>
      <c r="J42" s="64" t="s">
        <v>51</v>
      </c>
      <c r="K42" s="27"/>
      <c r="L42" s="128">
        <f t="shared" si="0"/>
        <v>0</v>
      </c>
      <c r="M42" s="129">
        <f t="shared" si="1"/>
        <v>0</v>
      </c>
      <c r="Q42" s="45"/>
      <c r="R42" s="45"/>
      <c r="S42" s="46"/>
    </row>
    <row r="43" spans="2:19" x14ac:dyDescent="0.25">
      <c r="B43" s="2">
        <f>Tabla1[[#This Row],[Nombre insumo]]</f>
        <v>0</v>
      </c>
      <c r="C43" s="64"/>
      <c r="D43" s="14"/>
      <c r="E43" s="14"/>
      <c r="F43" s="64"/>
      <c r="G43" s="65"/>
      <c r="H43" s="127" t="e">
        <f>Tabla1[[#This Row],[Pr. costo bulto]]/Tabla1[[#This Row],[Cant. Bulto]]</f>
        <v>#DIV/0!</v>
      </c>
      <c r="J43" s="64" t="s">
        <v>51</v>
      </c>
      <c r="K43" s="27"/>
      <c r="L43" s="128">
        <f t="shared" si="0"/>
        <v>0</v>
      </c>
      <c r="M43" s="129">
        <f t="shared" si="1"/>
        <v>0</v>
      </c>
      <c r="Q43" s="47"/>
      <c r="R43" s="48"/>
      <c r="S43" s="46"/>
    </row>
    <row r="44" spans="2:19" x14ac:dyDescent="0.25">
      <c r="B44" s="2">
        <f>Tabla1[[#This Row],[Nombre insumo]]</f>
        <v>0</v>
      </c>
      <c r="C44" s="64"/>
      <c r="D44" s="14"/>
      <c r="E44" s="14"/>
      <c r="F44" s="64"/>
      <c r="G44" s="65"/>
      <c r="H44" s="127" t="e">
        <f>Tabla1[[#This Row],[Pr. costo bulto]]/Tabla1[[#This Row],[Cant. Bulto]]</f>
        <v>#DIV/0!</v>
      </c>
      <c r="J44" s="64" t="s">
        <v>51</v>
      </c>
      <c r="K44" s="27"/>
      <c r="L44" s="128">
        <f t="shared" si="0"/>
        <v>0</v>
      </c>
      <c r="M44" s="129">
        <f t="shared" si="1"/>
        <v>0</v>
      </c>
      <c r="Q44" s="49"/>
      <c r="R44" s="45"/>
      <c r="S44" s="10"/>
    </row>
    <row r="45" spans="2:19" x14ac:dyDescent="0.25">
      <c r="B45" s="2">
        <f>Tabla1[[#This Row],[Nombre insumo]]</f>
        <v>0</v>
      </c>
      <c r="C45" s="64"/>
      <c r="D45" s="14"/>
      <c r="E45" s="14"/>
      <c r="F45" s="64"/>
      <c r="G45" s="65"/>
      <c r="H45" s="127" t="e">
        <f>Tabla1[[#This Row],[Pr. costo bulto]]/Tabla1[[#This Row],[Cant. Bulto]]</f>
        <v>#DIV/0!</v>
      </c>
      <c r="J45" s="64" t="s">
        <v>51</v>
      </c>
      <c r="K45" s="27"/>
      <c r="L45" s="128">
        <f t="shared" si="0"/>
        <v>0</v>
      </c>
      <c r="M45" s="129">
        <f t="shared" si="1"/>
        <v>0</v>
      </c>
      <c r="Q45" s="108"/>
      <c r="R45" s="108"/>
      <c r="S45" s="108"/>
    </row>
    <row r="46" spans="2:19" x14ac:dyDescent="0.25">
      <c r="B46" s="2">
        <f>Tabla1[[#This Row],[Nombre insumo]]</f>
        <v>0</v>
      </c>
      <c r="C46" s="64"/>
      <c r="D46" s="14"/>
      <c r="E46" s="14"/>
      <c r="F46" s="64"/>
      <c r="G46" s="65"/>
      <c r="H46" s="127" t="e">
        <f>Tabla1[[#This Row],[Pr. costo bulto]]/Tabla1[[#This Row],[Cant. Bulto]]</f>
        <v>#DIV/0!</v>
      </c>
      <c r="J46" s="64" t="s">
        <v>51</v>
      </c>
      <c r="K46" s="64"/>
      <c r="L46" s="128">
        <f t="shared" si="0"/>
        <v>0</v>
      </c>
      <c r="M46" s="129">
        <f t="shared" si="1"/>
        <v>0</v>
      </c>
      <c r="Q46" s="45"/>
      <c r="R46" s="45"/>
      <c r="S46" s="46"/>
    </row>
    <row r="47" spans="2:19" x14ac:dyDescent="0.25">
      <c r="B47" s="2">
        <f>Tabla1[[#This Row],[Nombre insumo]]</f>
        <v>0</v>
      </c>
      <c r="C47" s="64"/>
      <c r="D47" s="14"/>
      <c r="E47" s="14"/>
      <c r="F47" s="64"/>
      <c r="G47" s="65"/>
      <c r="H47" s="127" t="e">
        <f>Tabla1[[#This Row],[Pr. costo bulto]]/Tabla1[[#This Row],[Cant. Bulto]]</f>
        <v>#DIV/0!</v>
      </c>
      <c r="J47" s="64" t="s">
        <v>51</v>
      </c>
      <c r="K47" s="64"/>
      <c r="L47" s="128">
        <f t="shared" si="0"/>
        <v>0</v>
      </c>
      <c r="M47" s="129">
        <f t="shared" si="1"/>
        <v>0</v>
      </c>
      <c r="Q47" s="47"/>
      <c r="R47" s="48"/>
      <c r="S47" s="48"/>
    </row>
    <row r="48" spans="2:19" x14ac:dyDescent="0.25">
      <c r="B48" s="2">
        <f>Tabla1[[#This Row],[Nombre insumo]]</f>
        <v>0</v>
      </c>
      <c r="C48" s="64"/>
      <c r="D48" s="14"/>
      <c r="E48" s="14"/>
      <c r="F48" s="64"/>
      <c r="G48" s="65"/>
      <c r="H48" s="127" t="e">
        <f>Tabla1[[#This Row],[Pr. costo bulto]]/Tabla1[[#This Row],[Cant. Bulto]]</f>
        <v>#DIV/0!</v>
      </c>
      <c r="J48" s="64" t="s">
        <v>51</v>
      </c>
      <c r="K48" s="64"/>
      <c r="L48" s="128">
        <f t="shared" si="0"/>
        <v>0</v>
      </c>
      <c r="M48" s="129">
        <f t="shared" si="1"/>
        <v>0</v>
      </c>
      <c r="Q48" s="49"/>
      <c r="R48" s="45"/>
      <c r="S48" s="10"/>
    </row>
    <row r="49" spans="2:19" x14ac:dyDescent="0.25">
      <c r="B49" s="2">
        <f>Tabla1[[#This Row],[Nombre insumo]]</f>
        <v>0</v>
      </c>
      <c r="C49" s="64"/>
      <c r="D49" s="14"/>
      <c r="E49" s="14"/>
      <c r="F49" s="64"/>
      <c r="G49" s="65"/>
      <c r="H49" s="127" t="e">
        <f>Tabla1[[#This Row],[Pr. costo bulto]]/Tabla1[[#This Row],[Cant. Bulto]]</f>
        <v>#DIV/0!</v>
      </c>
      <c r="J49" s="64" t="s">
        <v>51</v>
      </c>
      <c r="K49" s="64"/>
      <c r="L49" s="128">
        <f t="shared" si="0"/>
        <v>0</v>
      </c>
      <c r="M49" s="129">
        <f t="shared" si="1"/>
        <v>0</v>
      </c>
      <c r="Q49" s="49"/>
      <c r="R49" s="45"/>
      <c r="S49" s="10"/>
    </row>
    <row r="50" spans="2:19" x14ac:dyDescent="0.25">
      <c r="B50" s="2">
        <f>Tabla1[[#This Row],[Nombre insumo]]</f>
        <v>0</v>
      </c>
      <c r="C50" s="64"/>
      <c r="D50" s="14"/>
      <c r="E50" s="14"/>
      <c r="F50" s="64"/>
      <c r="G50" s="65"/>
      <c r="H50" s="127" t="e">
        <f>Tabla1[[#This Row],[Pr. costo bulto]]/Tabla1[[#This Row],[Cant. Bulto]]</f>
        <v>#DIV/0!</v>
      </c>
      <c r="J50" s="60" t="s">
        <v>12</v>
      </c>
      <c r="K50" s="59"/>
      <c r="L50" s="62">
        <f>SUM(L25:L49)</f>
        <v>0</v>
      </c>
      <c r="M50" s="61">
        <f>SUM(M25:M49)</f>
        <v>0</v>
      </c>
      <c r="Q50" s="50"/>
      <c r="R50" s="46"/>
      <c r="S50" s="10"/>
    </row>
    <row r="51" spans="2:19" x14ac:dyDescent="0.25">
      <c r="B51" s="2">
        <f>Tabla1[[#This Row],[Nombre insumo]]</f>
        <v>0</v>
      </c>
      <c r="C51" s="64"/>
      <c r="D51" s="14"/>
      <c r="E51" s="14"/>
      <c r="F51" s="64"/>
      <c r="G51" s="65"/>
      <c r="H51" s="127" t="e">
        <f>Tabla1[[#This Row],[Pr. costo bulto]]/Tabla1[[#This Row],[Cant. Bulto]]</f>
        <v>#DIV/0!</v>
      </c>
      <c r="J51" s="44" t="s">
        <v>50</v>
      </c>
      <c r="Q51" s="49"/>
      <c r="R51" s="45"/>
      <c r="S51" s="10"/>
    </row>
    <row r="52" spans="2:19" x14ac:dyDescent="0.25">
      <c r="B52" s="2">
        <f>Tabla1[[#This Row],[Nombre insumo]]</f>
        <v>0</v>
      </c>
      <c r="C52" s="64"/>
      <c r="D52" s="14"/>
      <c r="E52" s="14"/>
      <c r="F52" s="64"/>
      <c r="G52" s="65"/>
      <c r="H52" s="127" t="e">
        <f>Tabla1[[#This Row],[Pr. costo bulto]]/Tabla1[[#This Row],[Cant. Bulto]]</f>
        <v>#DIV/0!</v>
      </c>
      <c r="Q52" s="51"/>
      <c r="R52" s="46"/>
      <c r="S52" s="10"/>
    </row>
    <row r="53" spans="2:19" x14ac:dyDescent="0.25">
      <c r="B53" s="2">
        <f>Tabla1[[#This Row],[Nombre insumo]]</f>
        <v>0</v>
      </c>
      <c r="C53" s="64"/>
      <c r="D53" s="14"/>
      <c r="E53" s="14"/>
      <c r="F53" s="64"/>
      <c r="G53" s="65"/>
      <c r="H53" s="127" t="e">
        <f>Tabla1[[#This Row],[Pr. costo bulto]]/Tabla1[[#This Row],[Cant. Bulto]]</f>
        <v>#DIV/0!</v>
      </c>
    </row>
    <row r="54" spans="2:19" x14ac:dyDescent="0.25">
      <c r="B54" s="2">
        <f>Tabla1[[#This Row],[Nombre insumo]]</f>
        <v>0</v>
      </c>
      <c r="C54" s="64"/>
      <c r="D54" s="14"/>
      <c r="E54" s="14"/>
      <c r="F54" s="64"/>
      <c r="G54" s="65"/>
      <c r="H54" s="127" t="e">
        <f>Tabla1[[#This Row],[Pr. costo bulto]]/Tabla1[[#This Row],[Cant. Bulto]]</f>
        <v>#DIV/0!</v>
      </c>
    </row>
    <row r="55" spans="2:19" x14ac:dyDescent="0.25">
      <c r="B55" s="2">
        <f>Tabla1[[#This Row],[Nombre insumo]]</f>
        <v>0</v>
      </c>
      <c r="C55" s="64"/>
      <c r="D55" s="14"/>
      <c r="E55" s="14"/>
      <c r="F55" s="64"/>
      <c r="G55" s="65"/>
      <c r="H55" s="127" t="e">
        <f>Tabla1[[#This Row],[Pr. costo bulto]]/Tabla1[[#This Row],[Cant. Bulto]]</f>
        <v>#DIV/0!</v>
      </c>
    </row>
    <row r="56" spans="2:19" x14ac:dyDescent="0.25">
      <c r="B56" s="2" t="s">
        <v>33</v>
      </c>
      <c r="C56" s="64"/>
      <c r="D56" s="14"/>
      <c r="E56" s="14"/>
      <c r="F56" s="64"/>
      <c r="G56" s="65"/>
      <c r="H56" s="127" t="e">
        <f>Tabla1[[#This Row],[Pr. costo bulto]]/Tabla1[[#This Row],[Cant. Bulto]]</f>
        <v>#DIV/0!</v>
      </c>
    </row>
    <row r="57" spans="2:19" x14ac:dyDescent="0.25">
      <c r="B57" s="2">
        <f>Tabla1[[#This Row],[Nombre insumo]]</f>
        <v>0</v>
      </c>
      <c r="C57" s="64"/>
      <c r="D57" s="14"/>
      <c r="E57" s="14"/>
      <c r="F57" s="64"/>
      <c r="G57" s="65"/>
      <c r="H57" s="127" t="e">
        <f>Tabla1[[#This Row],[Pr. costo bulto]]/Tabla1[[#This Row],[Cant. Bulto]]</f>
        <v>#DIV/0!</v>
      </c>
    </row>
    <row r="58" spans="2:19" x14ac:dyDescent="0.25">
      <c r="B58" s="2">
        <f>Tabla1[[#This Row],[Nombre insumo]]</f>
        <v>0</v>
      </c>
      <c r="C58" s="64"/>
      <c r="D58" s="14"/>
      <c r="E58" s="14"/>
      <c r="F58" s="64"/>
      <c r="G58" s="65"/>
      <c r="H58" s="127" t="e">
        <f>Tabla1[[#This Row],[Pr. costo bulto]]/Tabla1[[#This Row],[Cant. Bulto]]</f>
        <v>#DIV/0!</v>
      </c>
    </row>
    <row r="59" spans="2:19" x14ac:dyDescent="0.25">
      <c r="B59" s="2">
        <f>Tabla1[[#This Row],[Nombre insumo]]</f>
        <v>0</v>
      </c>
      <c r="C59" s="64"/>
      <c r="D59" s="14"/>
      <c r="E59" s="14"/>
      <c r="F59" s="64"/>
      <c r="G59" s="65"/>
      <c r="H59" s="127" t="e">
        <f>Tabla1[[#This Row],[Pr. costo bulto]]/Tabla1[[#This Row],[Cant. Bulto]]</f>
        <v>#DIV/0!</v>
      </c>
    </row>
    <row r="60" spans="2:19" x14ac:dyDescent="0.25">
      <c r="B60" s="2">
        <f>Tabla1[[#This Row],[Nombre insumo]]</f>
        <v>0</v>
      </c>
      <c r="C60" s="64"/>
      <c r="D60" s="14"/>
      <c r="E60" s="14"/>
      <c r="F60" s="64"/>
      <c r="G60" s="65"/>
      <c r="H60" s="127" t="e">
        <f>Tabla1[[#This Row],[Pr. costo bulto]]/Tabla1[[#This Row],[Cant. Bulto]]</f>
        <v>#DIV/0!</v>
      </c>
    </row>
    <row r="61" spans="2:19" x14ac:dyDescent="0.25">
      <c r="B61" s="2">
        <f>Tabla1[[#This Row],[Nombre insumo]]</f>
        <v>0</v>
      </c>
      <c r="C61" s="64"/>
      <c r="D61" s="14"/>
      <c r="E61" s="14"/>
      <c r="F61" s="64"/>
      <c r="G61" s="65"/>
      <c r="H61" s="127" t="e">
        <f>Tabla1[[#This Row],[Pr. costo bulto]]/Tabla1[[#This Row],[Cant. Bulto]]</f>
        <v>#DIV/0!</v>
      </c>
    </row>
    <row r="62" spans="2:19" x14ac:dyDescent="0.25">
      <c r="B62" s="2">
        <f>Tabla1[[#This Row],[Nombre insumo]]</f>
        <v>0</v>
      </c>
      <c r="C62" s="64"/>
      <c r="D62" s="14"/>
      <c r="E62" s="14"/>
      <c r="F62" s="64"/>
      <c r="G62" s="65"/>
      <c r="H62" s="127" t="e">
        <f>Tabla1[[#This Row],[Pr. costo bulto]]/Tabla1[[#This Row],[Cant. Bulto]]</f>
        <v>#DIV/0!</v>
      </c>
    </row>
    <row r="63" spans="2:19" x14ac:dyDescent="0.25">
      <c r="B63" s="2">
        <f>Tabla1[[#This Row],[Nombre insumo]]</f>
        <v>0</v>
      </c>
      <c r="C63" s="64"/>
      <c r="D63" s="14"/>
      <c r="E63" s="14"/>
      <c r="F63" s="64"/>
      <c r="G63" s="65"/>
      <c r="H63" s="127" t="e">
        <f>Tabla1[[#This Row],[Pr. costo bulto]]/Tabla1[[#This Row],[Cant. Bulto]]</f>
        <v>#DIV/0!</v>
      </c>
    </row>
    <row r="64" spans="2:19" x14ac:dyDescent="0.25">
      <c r="B64" s="2">
        <f>Tabla1[[#This Row],[Nombre insumo]]</f>
        <v>0</v>
      </c>
      <c r="C64" s="64"/>
      <c r="D64" s="14"/>
      <c r="E64" s="14"/>
      <c r="F64" s="64"/>
      <c r="G64" s="65"/>
      <c r="H64" s="127" t="e">
        <f>Tabla1[[#This Row],[Pr. costo bulto]]/Tabla1[[#This Row],[Cant. Bulto]]</f>
        <v>#DIV/0!</v>
      </c>
    </row>
    <row r="65" spans="2:8" x14ac:dyDescent="0.25">
      <c r="B65" s="2">
        <f>Tabla1[[#This Row],[Nombre insumo]]</f>
        <v>0</v>
      </c>
      <c r="C65" s="64"/>
      <c r="D65" s="14"/>
      <c r="E65" s="14"/>
      <c r="F65" s="64"/>
      <c r="G65" s="65"/>
      <c r="H65" s="127" t="e">
        <f>Tabla1[[#This Row],[Pr. costo bulto]]/Tabla1[[#This Row],[Cant. Bulto]]</f>
        <v>#DIV/0!</v>
      </c>
    </row>
    <row r="66" spans="2:8" x14ac:dyDescent="0.25">
      <c r="B66" s="2">
        <f>Tabla1[[#This Row],[Nombre insumo]]</f>
        <v>0</v>
      </c>
      <c r="C66" s="64"/>
      <c r="D66" s="14"/>
      <c r="E66" s="14"/>
      <c r="F66" s="64"/>
      <c r="G66" s="65"/>
      <c r="H66" s="127" t="e">
        <f>Tabla1[[#This Row],[Pr. costo bulto]]/Tabla1[[#This Row],[Cant. Bulto]]</f>
        <v>#DIV/0!</v>
      </c>
    </row>
    <row r="67" spans="2:8" x14ac:dyDescent="0.25">
      <c r="B67" s="2" t="e">
        <f>Tabla1[[#This Row],[Nombre insumo]]</f>
        <v>#VALUE!</v>
      </c>
    </row>
    <row r="68" spans="2:8" x14ac:dyDescent="0.25">
      <c r="B68" s="2" t="e">
        <f>Tabla1[[#This Row],[Nombre insumo]]</f>
        <v>#VALUE!</v>
      </c>
    </row>
    <row r="69" spans="2:8" x14ac:dyDescent="0.25">
      <c r="B69" s="2" t="e">
        <f>Tabla1[[#This Row],[Nombre insumo]]</f>
        <v>#VALUE!</v>
      </c>
    </row>
    <row r="70" spans="2:8" x14ac:dyDescent="0.25">
      <c r="B70" s="2" t="e">
        <f>Tabla1[[#This Row],[Nombre insumo]]</f>
        <v>#VALUE!</v>
      </c>
    </row>
    <row r="71" spans="2:8" x14ac:dyDescent="0.25">
      <c r="B71" s="2" t="e">
        <f>Tabla1[[#This Row],[Nombre insumo]]</f>
        <v>#VALUE!</v>
      </c>
    </row>
    <row r="72" spans="2:8" x14ac:dyDescent="0.25">
      <c r="B72" s="2" t="e">
        <f>Tabla1[[#This Row],[Nombre insumo]]</f>
        <v>#VALUE!</v>
      </c>
    </row>
    <row r="73" spans="2:8" x14ac:dyDescent="0.25">
      <c r="B73" s="2" t="e">
        <f>Tabla1[[#This Row],[Nombre insumo]]</f>
        <v>#VALUE!</v>
      </c>
    </row>
    <row r="74" spans="2:8" x14ac:dyDescent="0.25">
      <c r="B74" s="2" t="e">
        <f>Tabla1[[#This Row],[Nombre insumo]]</f>
        <v>#VALUE!</v>
      </c>
    </row>
    <row r="75" spans="2:8" x14ac:dyDescent="0.25">
      <c r="B75" s="2" t="e">
        <f>Tabla1[[#This Row],[Nombre insumo]]</f>
        <v>#VALUE!</v>
      </c>
    </row>
    <row r="76" spans="2:8" x14ac:dyDescent="0.25">
      <c r="B76" s="2" t="e">
        <f>Tabla1[[#This Row],[Nombre insumo]]</f>
        <v>#VALUE!</v>
      </c>
    </row>
    <row r="77" spans="2:8" x14ac:dyDescent="0.25">
      <c r="B77" s="2" t="e">
        <f>Tabla1[[#This Row],[Nombre insumo]]</f>
        <v>#VALUE!</v>
      </c>
    </row>
    <row r="78" spans="2:8" x14ac:dyDescent="0.25">
      <c r="B78" s="2" t="e">
        <f>Tabla1[[#This Row],[Nombre insumo]]</f>
        <v>#VALUE!</v>
      </c>
    </row>
    <row r="79" spans="2:8" x14ac:dyDescent="0.25">
      <c r="B79" s="2" t="e">
        <f>Tabla1[[#This Row],[Nombre insumo]]</f>
        <v>#VALUE!</v>
      </c>
    </row>
    <row r="80" spans="2:8" x14ac:dyDescent="0.25">
      <c r="B80" s="2" t="e">
        <f>Tabla1[[#This Row],[Nombre insumo]]</f>
        <v>#VALUE!</v>
      </c>
    </row>
    <row r="81" spans="2:2" x14ac:dyDescent="0.25">
      <c r="B81" s="2" t="e">
        <f>Tabla1[[#This Row],[Nombre insumo]]</f>
        <v>#VALUE!</v>
      </c>
    </row>
    <row r="82" spans="2:2" x14ac:dyDescent="0.25">
      <c r="B82" s="2" t="e">
        <f>Tabla1[[#This Row],[Nombre insumo]]</f>
        <v>#VALUE!</v>
      </c>
    </row>
    <row r="83" spans="2:2" x14ac:dyDescent="0.25">
      <c r="B83" s="2" t="e">
        <f>Tabla1[[#This Row],[Nombre insumo]]</f>
        <v>#VALUE!</v>
      </c>
    </row>
    <row r="84" spans="2:2" x14ac:dyDescent="0.25">
      <c r="B84" s="2" t="e">
        <f>Tabla1[[#This Row],[Nombre insumo]]</f>
        <v>#VALUE!</v>
      </c>
    </row>
    <row r="85" spans="2:2" x14ac:dyDescent="0.25">
      <c r="B85" s="2" t="e">
        <f>Tabla1[[#This Row],[Nombre insumo]]</f>
        <v>#VALUE!</v>
      </c>
    </row>
    <row r="86" spans="2:2" x14ac:dyDescent="0.25">
      <c r="B86" s="2" t="e">
        <f>Tabla1[[#This Row],[Nombre insumo]]</f>
        <v>#VALUE!</v>
      </c>
    </row>
    <row r="87" spans="2:2" x14ac:dyDescent="0.25">
      <c r="B87" s="2" t="e">
        <f>Tabla1[[#This Row],[Nombre insumo]]</f>
        <v>#VALUE!</v>
      </c>
    </row>
    <row r="88" spans="2:2" x14ac:dyDescent="0.25">
      <c r="B88" s="2" t="e">
        <f>Tabla1[[#This Row],[Nombre insumo]]</f>
        <v>#VALUE!</v>
      </c>
    </row>
    <row r="89" spans="2:2" x14ac:dyDescent="0.25">
      <c r="B89" s="2" t="e">
        <f>Tabla1[[#This Row],[Nombre insumo]]</f>
        <v>#VALUE!</v>
      </c>
    </row>
    <row r="90" spans="2:2" x14ac:dyDescent="0.25">
      <c r="B90" s="2" t="e">
        <f>Tabla1[[#This Row],[Nombre insumo]]</f>
        <v>#VALUE!</v>
      </c>
    </row>
    <row r="91" spans="2:2" x14ac:dyDescent="0.25">
      <c r="B91" s="2" t="e">
        <f>Tabla1[[#This Row],[Nombre insumo]]</f>
        <v>#VALUE!</v>
      </c>
    </row>
    <row r="92" spans="2:2" x14ac:dyDescent="0.25">
      <c r="B92" s="2" t="e">
        <f>Tabla1[[#This Row],[Nombre insumo]]</f>
        <v>#VALUE!</v>
      </c>
    </row>
    <row r="93" spans="2:2" x14ac:dyDescent="0.25">
      <c r="B93" s="2" t="e">
        <f>Tabla1[[#This Row],[Nombre insumo]]</f>
        <v>#VALUE!</v>
      </c>
    </row>
    <row r="94" spans="2:2" x14ac:dyDescent="0.25">
      <c r="B94" s="2" t="e">
        <f>Tabla1[[#This Row],[Nombre insumo]]</f>
        <v>#VALUE!</v>
      </c>
    </row>
    <row r="95" spans="2:2" x14ac:dyDescent="0.25">
      <c r="B95" s="2" t="e">
        <f>Tabla1[[#This Row],[Nombre insumo]]</f>
        <v>#VALUE!</v>
      </c>
    </row>
    <row r="96" spans="2:2" x14ac:dyDescent="0.25">
      <c r="B96" s="2" t="e">
        <f>Tabla1[[#This Row],[Nombre insumo]]</f>
        <v>#VALUE!</v>
      </c>
    </row>
    <row r="97" spans="2:2" x14ac:dyDescent="0.25">
      <c r="B97" s="2" t="e">
        <f>Tabla1[[#This Row],[Nombre insumo]]</f>
        <v>#VALUE!</v>
      </c>
    </row>
    <row r="98" spans="2:2" x14ac:dyDescent="0.25">
      <c r="B98" s="2" t="e">
        <f>Tabla1[[#This Row],[Nombre insumo]]</f>
        <v>#VALUE!</v>
      </c>
    </row>
    <row r="99" spans="2:2" x14ac:dyDescent="0.25">
      <c r="B99" s="2" t="e">
        <f>Tabla1[[#This Row],[Nombre insumo]]</f>
        <v>#VALUE!</v>
      </c>
    </row>
    <row r="100" spans="2:2" x14ac:dyDescent="0.25">
      <c r="B100" s="2" t="e">
        <f>Tabla1[[#This Row],[Nombre insumo]]</f>
        <v>#VALUE!</v>
      </c>
    </row>
    <row r="101" spans="2:2" x14ac:dyDescent="0.25">
      <c r="B101" s="2" t="e">
        <f>Tabla1[[#This Row],[Nombre insumo]]</f>
        <v>#VALUE!</v>
      </c>
    </row>
    <row r="102" spans="2:2" x14ac:dyDescent="0.25">
      <c r="B102" s="2" t="e">
        <f>Tabla1[[#This Row],[Nombre insumo]]</f>
        <v>#VALUE!</v>
      </c>
    </row>
    <row r="103" spans="2:2" x14ac:dyDescent="0.25">
      <c r="B103" s="2" t="e">
        <f>Tabla1[[#This Row],[Nombre insumo]]</f>
        <v>#VALUE!</v>
      </c>
    </row>
    <row r="104" spans="2:2" x14ac:dyDescent="0.25">
      <c r="B104" s="2" t="e">
        <f>Tabla1[[#This Row],[Nombre insumo]]</f>
        <v>#VALUE!</v>
      </c>
    </row>
    <row r="105" spans="2:2" x14ac:dyDescent="0.25">
      <c r="B105" s="2" t="e">
        <f>Tabla1[[#This Row],[Nombre insumo]]</f>
        <v>#VALUE!</v>
      </c>
    </row>
    <row r="106" spans="2:2" x14ac:dyDescent="0.25">
      <c r="B106" s="2" t="e">
        <f>Tabla1[[#This Row],[Nombre insumo]]</f>
        <v>#VALUE!</v>
      </c>
    </row>
    <row r="107" spans="2:2" x14ac:dyDescent="0.25">
      <c r="B107" s="2" t="e">
        <f>Tabla1[[#This Row],[Nombre insumo]]</f>
        <v>#VALUE!</v>
      </c>
    </row>
    <row r="108" spans="2:2" x14ac:dyDescent="0.25">
      <c r="B108" s="2" t="e">
        <f>Tabla1[[#This Row],[Nombre insumo]]</f>
        <v>#VALUE!</v>
      </c>
    </row>
    <row r="109" spans="2:2" x14ac:dyDescent="0.25">
      <c r="B109" s="2" t="e">
        <f>Tabla1[[#This Row],[Nombre insumo]]</f>
        <v>#VALUE!</v>
      </c>
    </row>
    <row r="110" spans="2:2" x14ac:dyDescent="0.25">
      <c r="B110" s="2" t="e">
        <f>Tabla1[[#This Row],[Nombre insumo]]</f>
        <v>#VALUE!</v>
      </c>
    </row>
    <row r="111" spans="2:2" x14ac:dyDescent="0.25">
      <c r="B111" s="2" t="e">
        <f>Tabla1[[#This Row],[Nombre insumo]]</f>
        <v>#VALUE!</v>
      </c>
    </row>
    <row r="112" spans="2:2" x14ac:dyDescent="0.25">
      <c r="B112" s="2" t="e">
        <f>Tabla1[[#This Row],[Nombre insumo]]</f>
        <v>#VALUE!</v>
      </c>
    </row>
    <row r="113" spans="2:2" x14ac:dyDescent="0.25">
      <c r="B113" s="2" t="e">
        <f>Tabla1[[#This Row],[Nombre insumo]]</f>
        <v>#VALUE!</v>
      </c>
    </row>
    <row r="114" spans="2:2" x14ac:dyDescent="0.25">
      <c r="B114" s="2" t="e">
        <f>Tabla1[[#This Row],[Nombre insumo]]</f>
        <v>#VALUE!</v>
      </c>
    </row>
    <row r="115" spans="2:2" x14ac:dyDescent="0.25">
      <c r="B115" s="2" t="e">
        <f>Tabla1[[#This Row],[Nombre insumo]]</f>
        <v>#VALUE!</v>
      </c>
    </row>
    <row r="116" spans="2:2" x14ac:dyDescent="0.25">
      <c r="B116" s="2" t="e">
        <f>Tabla1[[#This Row],[Nombre insumo]]</f>
        <v>#VALUE!</v>
      </c>
    </row>
    <row r="117" spans="2:2" x14ac:dyDescent="0.25">
      <c r="B117" s="2" t="e">
        <f>Tabla1[[#This Row],[Nombre insumo]]</f>
        <v>#VALUE!</v>
      </c>
    </row>
    <row r="118" spans="2:2" x14ac:dyDescent="0.25">
      <c r="B118" s="2" t="e">
        <f>Tabla1[[#This Row],[Nombre insumo]]</f>
        <v>#VALUE!</v>
      </c>
    </row>
    <row r="119" spans="2:2" x14ac:dyDescent="0.25">
      <c r="B119" s="2" t="e">
        <f>Tabla1[[#This Row],[Nombre insumo]]</f>
        <v>#VALUE!</v>
      </c>
    </row>
    <row r="120" spans="2:2" x14ac:dyDescent="0.25">
      <c r="B120" s="2" t="e">
        <f>Tabla1[[#This Row],[Nombre insumo]]</f>
        <v>#VALUE!</v>
      </c>
    </row>
    <row r="121" spans="2:2" x14ac:dyDescent="0.25">
      <c r="B121" s="2" t="e">
        <f>Tabla1[[#This Row],[Nombre insumo]]</f>
        <v>#VALUE!</v>
      </c>
    </row>
    <row r="122" spans="2:2" x14ac:dyDescent="0.25">
      <c r="B122" s="2" t="e">
        <f>Tabla1[[#This Row],[Nombre insumo]]</f>
        <v>#VALUE!</v>
      </c>
    </row>
    <row r="123" spans="2:2" x14ac:dyDescent="0.25">
      <c r="B123" s="2" t="e">
        <f>Tabla1[[#This Row],[Nombre insumo]]</f>
        <v>#VALUE!</v>
      </c>
    </row>
    <row r="124" spans="2:2" x14ac:dyDescent="0.25">
      <c r="B124" s="2" t="e">
        <f>Tabla1[[#This Row],[Nombre insumo]]</f>
        <v>#VALUE!</v>
      </c>
    </row>
    <row r="125" spans="2:2" x14ac:dyDescent="0.25">
      <c r="B125" s="2" t="e">
        <f>Tabla1[[#This Row],[Nombre insumo]]</f>
        <v>#VALUE!</v>
      </c>
    </row>
    <row r="126" spans="2:2" x14ac:dyDescent="0.25">
      <c r="B126" s="2" t="e">
        <f>Tabla1[[#This Row],[Nombre insumo]]</f>
        <v>#VALUE!</v>
      </c>
    </row>
    <row r="127" spans="2:2" x14ac:dyDescent="0.25">
      <c r="B127" s="2" t="e">
        <f>Tabla1[[#This Row],[Nombre insumo]]</f>
        <v>#VALUE!</v>
      </c>
    </row>
    <row r="128" spans="2:2" x14ac:dyDescent="0.25">
      <c r="B128" s="2" t="e">
        <f>Tabla1[[#This Row],[Nombre insumo]]</f>
        <v>#VALUE!</v>
      </c>
    </row>
    <row r="129" spans="2:2" x14ac:dyDescent="0.25">
      <c r="B129" s="2" t="e">
        <f>Tabla1[[#This Row],[Nombre insumo]]</f>
        <v>#VALUE!</v>
      </c>
    </row>
    <row r="130" spans="2:2" x14ac:dyDescent="0.25">
      <c r="B130" s="2" t="e">
        <f>Tabla1[[#This Row],[Nombre insumo]]</f>
        <v>#VALUE!</v>
      </c>
    </row>
    <row r="131" spans="2:2" x14ac:dyDescent="0.25">
      <c r="B131" s="2" t="e">
        <f>Tabla1[[#This Row],[Nombre insumo]]</f>
        <v>#VALUE!</v>
      </c>
    </row>
    <row r="132" spans="2:2" x14ac:dyDescent="0.25">
      <c r="B132" s="2" t="e">
        <f>Tabla1[[#This Row],[Nombre insumo]]</f>
        <v>#VALUE!</v>
      </c>
    </row>
    <row r="133" spans="2:2" x14ac:dyDescent="0.25">
      <c r="B133" s="2" t="e">
        <f>Tabla1[[#This Row],[Nombre insumo]]</f>
        <v>#VALUE!</v>
      </c>
    </row>
    <row r="134" spans="2:2" x14ac:dyDescent="0.25">
      <c r="B134" s="2" t="e">
        <f>Tabla1[[#This Row],[Nombre insumo]]</f>
        <v>#VALUE!</v>
      </c>
    </row>
    <row r="135" spans="2:2" x14ac:dyDescent="0.25">
      <c r="B135" s="2" t="e">
        <f>Tabla1[[#This Row],[Nombre insumo]]</f>
        <v>#VALUE!</v>
      </c>
    </row>
    <row r="136" spans="2:2" x14ac:dyDescent="0.25">
      <c r="B136" s="2" t="e">
        <f>Tabla1[[#This Row],[Nombre insumo]]</f>
        <v>#VALUE!</v>
      </c>
    </row>
    <row r="137" spans="2:2" x14ac:dyDescent="0.25">
      <c r="B137" s="2" t="e">
        <f>Tabla1[[#This Row],[Nombre insumo]]</f>
        <v>#VALUE!</v>
      </c>
    </row>
    <row r="138" spans="2:2" x14ac:dyDescent="0.25">
      <c r="B138" s="2" t="e">
        <f>Tabla1[[#This Row],[Nombre insumo]]</f>
        <v>#VALUE!</v>
      </c>
    </row>
    <row r="139" spans="2:2" x14ac:dyDescent="0.25">
      <c r="B139" s="2" t="e">
        <f>Tabla1[[#This Row],[Nombre insumo]]</f>
        <v>#VALUE!</v>
      </c>
    </row>
    <row r="140" spans="2:2" x14ac:dyDescent="0.25">
      <c r="B140" s="2" t="e">
        <f>Tabla1[[#This Row],[Nombre insumo]]</f>
        <v>#VALUE!</v>
      </c>
    </row>
    <row r="141" spans="2:2" x14ac:dyDescent="0.25">
      <c r="B141" s="2" t="e">
        <f>Tabla1[[#This Row],[Nombre insumo]]</f>
        <v>#VALUE!</v>
      </c>
    </row>
    <row r="142" spans="2:2" x14ac:dyDescent="0.25">
      <c r="B142" s="2" t="e">
        <f>Tabla1[[#This Row],[Nombre insumo]]</f>
        <v>#VALUE!</v>
      </c>
    </row>
    <row r="143" spans="2:2" x14ac:dyDescent="0.25">
      <c r="B143" s="2" t="e">
        <f>Tabla1[[#This Row],[Nombre insumo]]</f>
        <v>#VALUE!</v>
      </c>
    </row>
    <row r="144" spans="2:2" x14ac:dyDescent="0.25">
      <c r="B144" s="2" t="e">
        <f>Tabla1[[#This Row],[Nombre insumo]]</f>
        <v>#VALUE!</v>
      </c>
    </row>
    <row r="145" spans="2:2" x14ac:dyDescent="0.25">
      <c r="B145" s="2" t="e">
        <f>Tabla1[[#This Row],[Nombre insumo]]</f>
        <v>#VALUE!</v>
      </c>
    </row>
    <row r="146" spans="2:2" x14ac:dyDescent="0.25">
      <c r="B146" s="2" t="e">
        <f>Tabla1[[#This Row],[Nombre insumo]]</f>
        <v>#VALUE!</v>
      </c>
    </row>
    <row r="147" spans="2:2" x14ac:dyDescent="0.25">
      <c r="B147" s="2" t="e">
        <f>Tabla1[[#This Row],[Nombre insumo]]</f>
        <v>#VALUE!</v>
      </c>
    </row>
    <row r="148" spans="2:2" x14ac:dyDescent="0.25">
      <c r="B148" s="2" t="e">
        <f>Tabla1[[#This Row],[Nombre insumo]]</f>
        <v>#VALUE!</v>
      </c>
    </row>
    <row r="149" spans="2:2" x14ac:dyDescent="0.25">
      <c r="B149" s="2" t="e">
        <f>Tabla1[[#This Row],[Nombre insumo]]</f>
        <v>#VALUE!</v>
      </c>
    </row>
    <row r="150" spans="2:2" x14ac:dyDescent="0.25">
      <c r="B150" s="2" t="e">
        <f>Tabla1[[#This Row],[Nombre insumo]]</f>
        <v>#VALUE!</v>
      </c>
    </row>
    <row r="151" spans="2:2" x14ac:dyDescent="0.25">
      <c r="B151" s="2" t="e">
        <f>Tabla1[[#This Row],[Nombre insumo]]</f>
        <v>#VALUE!</v>
      </c>
    </row>
    <row r="152" spans="2:2" x14ac:dyDescent="0.25">
      <c r="B152" s="2" t="e">
        <f>Tabla1[[#This Row],[Nombre insumo]]</f>
        <v>#VALUE!</v>
      </c>
    </row>
    <row r="153" spans="2:2" x14ac:dyDescent="0.25">
      <c r="B153" s="2" t="e">
        <f>Tabla1[[#This Row],[Nombre insumo]]</f>
        <v>#VALUE!</v>
      </c>
    </row>
    <row r="154" spans="2:2" x14ac:dyDescent="0.25">
      <c r="B154" s="2" t="e">
        <f>Tabla1[[#This Row],[Nombre insumo]]</f>
        <v>#VALUE!</v>
      </c>
    </row>
    <row r="155" spans="2:2" x14ac:dyDescent="0.25">
      <c r="B155" s="2" t="e">
        <f>Tabla1[[#This Row],[Nombre insumo]]</f>
        <v>#VALUE!</v>
      </c>
    </row>
    <row r="156" spans="2:2" x14ac:dyDescent="0.25">
      <c r="B156" s="2" t="e">
        <f>Tabla1[[#This Row],[Nombre insumo]]</f>
        <v>#VALUE!</v>
      </c>
    </row>
    <row r="157" spans="2:2" x14ac:dyDescent="0.25">
      <c r="B157" s="2" t="e">
        <f>Tabla1[[#This Row],[Nombre insumo]]</f>
        <v>#VALUE!</v>
      </c>
    </row>
    <row r="158" spans="2:2" x14ac:dyDescent="0.25">
      <c r="B158" s="2" t="e">
        <f>Tabla1[[#This Row],[Nombre insumo]]</f>
        <v>#VALUE!</v>
      </c>
    </row>
    <row r="159" spans="2:2" x14ac:dyDescent="0.25">
      <c r="B159" s="2" t="e">
        <f>Tabla1[[#This Row],[Nombre insumo]]</f>
        <v>#VALUE!</v>
      </c>
    </row>
    <row r="160" spans="2:2" x14ac:dyDescent="0.25">
      <c r="B160" s="2" t="e">
        <f>Tabla1[[#This Row],[Nombre insumo]]</f>
        <v>#VALUE!</v>
      </c>
    </row>
    <row r="161" spans="2:2" x14ac:dyDescent="0.25">
      <c r="B161" s="2" t="e">
        <f>Tabla1[[#This Row],[Nombre insumo]]</f>
        <v>#VALUE!</v>
      </c>
    </row>
    <row r="162" spans="2:2" x14ac:dyDescent="0.25">
      <c r="B162" s="2" t="e">
        <f>Tabla1[[#This Row],[Nombre insumo]]</f>
        <v>#VALUE!</v>
      </c>
    </row>
    <row r="163" spans="2:2" x14ac:dyDescent="0.25">
      <c r="B163" s="2" t="e">
        <f>Tabla1[[#This Row],[Nombre insumo]]</f>
        <v>#VALUE!</v>
      </c>
    </row>
    <row r="164" spans="2:2" x14ac:dyDescent="0.25">
      <c r="B164" s="2" t="e">
        <f>Tabla1[[#This Row],[Nombre insumo]]</f>
        <v>#VALUE!</v>
      </c>
    </row>
    <row r="165" spans="2:2" x14ac:dyDescent="0.25">
      <c r="B165" s="2" t="e">
        <f>Tabla1[[#This Row],[Nombre insumo]]</f>
        <v>#VALUE!</v>
      </c>
    </row>
    <row r="166" spans="2:2" x14ac:dyDescent="0.25">
      <c r="B166" s="2" t="e">
        <f>Tabla1[[#This Row],[Nombre insumo]]</f>
        <v>#VALUE!</v>
      </c>
    </row>
    <row r="167" spans="2:2" x14ac:dyDescent="0.25">
      <c r="B167" s="2" t="e">
        <f>Tabla1[[#This Row],[Nombre insumo]]</f>
        <v>#VALUE!</v>
      </c>
    </row>
    <row r="168" spans="2:2" x14ac:dyDescent="0.25">
      <c r="B168" s="2" t="e">
        <f>Tabla1[[#This Row],[Nombre insumo]]</f>
        <v>#VALUE!</v>
      </c>
    </row>
    <row r="169" spans="2:2" x14ac:dyDescent="0.25">
      <c r="B169" s="2" t="e">
        <f>Tabla1[[#This Row],[Nombre insumo]]</f>
        <v>#VALUE!</v>
      </c>
    </row>
    <row r="170" spans="2:2" x14ac:dyDescent="0.25">
      <c r="B170" s="2" t="e">
        <f>Tabla1[[#This Row],[Nombre insumo]]</f>
        <v>#VALUE!</v>
      </c>
    </row>
    <row r="171" spans="2:2" x14ac:dyDescent="0.25">
      <c r="B171" s="2" t="e">
        <f>Tabla1[[#This Row],[Nombre insumo]]</f>
        <v>#VALUE!</v>
      </c>
    </row>
    <row r="172" spans="2:2" x14ac:dyDescent="0.25">
      <c r="B172" s="2" t="e">
        <f>Tabla1[[#This Row],[Nombre insumo]]</f>
        <v>#VALUE!</v>
      </c>
    </row>
    <row r="173" spans="2:2" x14ac:dyDescent="0.25">
      <c r="B173" s="2" t="e">
        <f>Tabla1[[#This Row],[Nombre insumo]]</f>
        <v>#VALUE!</v>
      </c>
    </row>
    <row r="174" spans="2:2" x14ac:dyDescent="0.25">
      <c r="B174" s="2" t="e">
        <f>Tabla1[[#This Row],[Nombre insumo]]</f>
        <v>#VALUE!</v>
      </c>
    </row>
    <row r="175" spans="2:2" x14ac:dyDescent="0.25">
      <c r="B175" s="2" t="e">
        <f>Tabla1[[#This Row],[Nombre insumo]]</f>
        <v>#VALUE!</v>
      </c>
    </row>
    <row r="176" spans="2:2" x14ac:dyDescent="0.25">
      <c r="B176" s="2" t="e">
        <f>Tabla1[[#This Row],[Nombre insumo]]</f>
        <v>#VALUE!</v>
      </c>
    </row>
    <row r="177" spans="2:2" x14ac:dyDescent="0.25">
      <c r="B177" s="2" t="e">
        <f>Tabla1[[#This Row],[Nombre insumo]]</f>
        <v>#VALUE!</v>
      </c>
    </row>
    <row r="178" spans="2:2" x14ac:dyDescent="0.25">
      <c r="B178" s="2" t="e">
        <f>Tabla1[[#This Row],[Nombre insumo]]</f>
        <v>#VALUE!</v>
      </c>
    </row>
    <row r="179" spans="2:2" x14ac:dyDescent="0.25">
      <c r="B179" s="2" t="e">
        <f>Tabla1[[#This Row],[Nombre insumo]]</f>
        <v>#VALUE!</v>
      </c>
    </row>
    <row r="180" spans="2:2" x14ac:dyDescent="0.25">
      <c r="B180" s="2" t="e">
        <f>Tabla1[[#This Row],[Nombre insumo]]</f>
        <v>#VALUE!</v>
      </c>
    </row>
    <row r="181" spans="2:2" x14ac:dyDescent="0.25">
      <c r="B181" s="2" t="e">
        <f>Tabla1[[#This Row],[Nombre insumo]]</f>
        <v>#VALUE!</v>
      </c>
    </row>
    <row r="182" spans="2:2" x14ac:dyDescent="0.25">
      <c r="B182" s="2" t="e">
        <f>Tabla1[[#This Row],[Nombre insumo]]</f>
        <v>#VALUE!</v>
      </c>
    </row>
    <row r="183" spans="2:2" x14ac:dyDescent="0.25">
      <c r="B183" s="2" t="e">
        <f>Tabla1[[#This Row],[Nombre insumo]]</f>
        <v>#VALUE!</v>
      </c>
    </row>
    <row r="184" spans="2:2" x14ac:dyDescent="0.25">
      <c r="B184" s="2" t="e">
        <f>Tabla1[[#This Row],[Nombre insumo]]</f>
        <v>#VALUE!</v>
      </c>
    </row>
    <row r="185" spans="2:2" x14ac:dyDescent="0.25">
      <c r="B185" s="2" t="e">
        <f>Tabla1[[#This Row],[Nombre insumo]]</f>
        <v>#VALUE!</v>
      </c>
    </row>
    <row r="186" spans="2:2" x14ac:dyDescent="0.25">
      <c r="B186" s="2" t="e">
        <f>Tabla1[[#This Row],[Nombre insumo]]</f>
        <v>#VALUE!</v>
      </c>
    </row>
    <row r="187" spans="2:2" x14ac:dyDescent="0.25">
      <c r="B187" s="2" t="e">
        <f>Tabla1[[#This Row],[Nombre insumo]]</f>
        <v>#VALUE!</v>
      </c>
    </row>
    <row r="188" spans="2:2" x14ac:dyDescent="0.25">
      <c r="B188" s="2" t="e">
        <f>Tabla1[[#This Row],[Nombre insumo]]</f>
        <v>#VALUE!</v>
      </c>
    </row>
    <row r="189" spans="2:2" x14ac:dyDescent="0.25">
      <c r="B189" s="2" t="e">
        <f>Tabla1[[#This Row],[Nombre insumo]]</f>
        <v>#VALUE!</v>
      </c>
    </row>
    <row r="190" spans="2:2" x14ac:dyDescent="0.25">
      <c r="B190" s="2" t="e">
        <f>Tabla1[[#This Row],[Nombre insumo]]</f>
        <v>#VALUE!</v>
      </c>
    </row>
    <row r="191" spans="2:2" x14ac:dyDescent="0.25">
      <c r="B191" s="2" t="e">
        <f>Tabla1[[#This Row],[Nombre insumo]]</f>
        <v>#VALUE!</v>
      </c>
    </row>
    <row r="192" spans="2:2" x14ac:dyDescent="0.25">
      <c r="B192" s="2" t="e">
        <f>Tabla1[[#This Row],[Nombre insumo]]</f>
        <v>#VALUE!</v>
      </c>
    </row>
    <row r="193" spans="2:2" x14ac:dyDescent="0.25">
      <c r="B193" s="2" t="e">
        <f>Tabla1[[#This Row],[Nombre insumo]]</f>
        <v>#VALUE!</v>
      </c>
    </row>
    <row r="194" spans="2:2" x14ac:dyDescent="0.25">
      <c r="B194" s="2" t="e">
        <f>Tabla1[[#This Row],[Nombre insumo]]</f>
        <v>#VALUE!</v>
      </c>
    </row>
    <row r="195" spans="2:2" x14ac:dyDescent="0.25">
      <c r="B195" s="2" t="e">
        <f>Tabla1[[#This Row],[Nombre insumo]]</f>
        <v>#VALUE!</v>
      </c>
    </row>
    <row r="196" spans="2:2" x14ac:dyDescent="0.25">
      <c r="B196" s="2" t="e">
        <f>Tabla1[[#This Row],[Nombre insumo]]</f>
        <v>#VALUE!</v>
      </c>
    </row>
    <row r="197" spans="2:2" x14ac:dyDescent="0.25">
      <c r="B197" s="2" t="e">
        <f>Tabla1[[#This Row],[Nombre insumo]]</f>
        <v>#VALUE!</v>
      </c>
    </row>
    <row r="198" spans="2:2" x14ac:dyDescent="0.25">
      <c r="B198" s="2" t="e">
        <f>Tabla1[[#This Row],[Nombre insumo]]</f>
        <v>#VALUE!</v>
      </c>
    </row>
    <row r="199" spans="2:2" x14ac:dyDescent="0.25">
      <c r="B199" s="2" t="e">
        <f>Tabla1[[#This Row],[Nombre insumo]]</f>
        <v>#VALUE!</v>
      </c>
    </row>
    <row r="200" spans="2:2" x14ac:dyDescent="0.25">
      <c r="B200" s="2" t="e">
        <f>Tabla1[[#This Row],[Nombre insumo]]</f>
        <v>#VALUE!</v>
      </c>
    </row>
    <row r="201" spans="2:2" x14ac:dyDescent="0.25">
      <c r="B201" s="2" t="e">
        <f>Tabla1[[#This Row],[Nombre insumo]]</f>
        <v>#VALUE!</v>
      </c>
    </row>
    <row r="202" spans="2:2" x14ac:dyDescent="0.25">
      <c r="B202" s="2" t="e">
        <f>Tabla1[[#This Row],[Nombre insumo]]</f>
        <v>#VALUE!</v>
      </c>
    </row>
    <row r="203" spans="2:2" x14ac:dyDescent="0.25">
      <c r="B203" s="2" t="e">
        <f>Tabla1[[#This Row],[Nombre insumo]]</f>
        <v>#VALUE!</v>
      </c>
    </row>
    <row r="204" spans="2:2" x14ac:dyDescent="0.25">
      <c r="B204" s="2" t="e">
        <f>Tabla1[[#This Row],[Nombre insumo]]</f>
        <v>#VALUE!</v>
      </c>
    </row>
    <row r="205" spans="2:2" x14ac:dyDescent="0.25">
      <c r="B205" s="2" t="e">
        <f>Tabla1[[#This Row],[Nombre insumo]]</f>
        <v>#VALUE!</v>
      </c>
    </row>
    <row r="206" spans="2:2" x14ac:dyDescent="0.25">
      <c r="B206" s="2" t="e">
        <f>Tabla1[[#This Row],[Nombre insumo]]</f>
        <v>#VALUE!</v>
      </c>
    </row>
    <row r="207" spans="2:2" x14ac:dyDescent="0.25">
      <c r="B207" s="2" t="e">
        <f>Tabla1[[#This Row],[Nombre insumo]]</f>
        <v>#VALUE!</v>
      </c>
    </row>
    <row r="208" spans="2:2" x14ac:dyDescent="0.25">
      <c r="B208" s="2" t="e">
        <f>Tabla1[[#This Row],[Nombre insumo]]</f>
        <v>#VALUE!</v>
      </c>
    </row>
    <row r="209" spans="2:2" x14ac:dyDescent="0.25">
      <c r="B209" s="2" t="e">
        <f>Tabla1[[#This Row],[Nombre insumo]]</f>
        <v>#VALUE!</v>
      </c>
    </row>
    <row r="210" spans="2:2" x14ac:dyDescent="0.25">
      <c r="B210" s="2" t="e">
        <f>Tabla1[[#This Row],[Nombre insumo]]</f>
        <v>#VALUE!</v>
      </c>
    </row>
    <row r="211" spans="2:2" x14ac:dyDescent="0.25">
      <c r="B211" s="2" t="e">
        <f>Tabla1[[#This Row],[Nombre insumo]]</f>
        <v>#VALUE!</v>
      </c>
    </row>
    <row r="212" spans="2:2" x14ac:dyDescent="0.25">
      <c r="B212" s="2" t="e">
        <f>Tabla1[[#This Row],[Nombre insumo]]</f>
        <v>#VALUE!</v>
      </c>
    </row>
    <row r="213" spans="2:2" x14ac:dyDescent="0.25">
      <c r="B213" s="2" t="e">
        <f>Tabla1[[#This Row],[Nombre insumo]]</f>
        <v>#VALUE!</v>
      </c>
    </row>
    <row r="214" spans="2:2" x14ac:dyDescent="0.25">
      <c r="B214" s="2" t="e">
        <f>Tabla1[[#This Row],[Nombre insumo]]</f>
        <v>#VALUE!</v>
      </c>
    </row>
    <row r="215" spans="2:2" x14ac:dyDescent="0.25">
      <c r="B215" s="2" t="e">
        <f>Tabla1[[#This Row],[Nombre insumo]]</f>
        <v>#VALUE!</v>
      </c>
    </row>
    <row r="216" spans="2:2" x14ac:dyDescent="0.25">
      <c r="B216" s="2" t="e">
        <f>Tabla1[[#This Row],[Nombre insumo]]</f>
        <v>#VALUE!</v>
      </c>
    </row>
    <row r="217" spans="2:2" x14ac:dyDescent="0.25">
      <c r="B217" s="2" t="e">
        <f>Tabla1[[#This Row],[Nombre insumo]]</f>
        <v>#VALUE!</v>
      </c>
    </row>
    <row r="218" spans="2:2" x14ac:dyDescent="0.25">
      <c r="B218" s="2" t="e">
        <f>Tabla1[[#This Row],[Nombre insumo]]</f>
        <v>#VALUE!</v>
      </c>
    </row>
    <row r="219" spans="2:2" x14ac:dyDescent="0.25">
      <c r="B219" s="2" t="e">
        <f>Tabla1[[#This Row],[Nombre insumo]]</f>
        <v>#VALUE!</v>
      </c>
    </row>
    <row r="220" spans="2:2" x14ac:dyDescent="0.25">
      <c r="B220" s="2" t="e">
        <f>Tabla1[[#This Row],[Nombre insumo]]</f>
        <v>#VALUE!</v>
      </c>
    </row>
    <row r="221" spans="2:2" x14ac:dyDescent="0.25">
      <c r="B221" s="2" t="e">
        <f>Tabla1[[#This Row],[Nombre insumo]]</f>
        <v>#VALUE!</v>
      </c>
    </row>
    <row r="222" spans="2:2" x14ac:dyDescent="0.25">
      <c r="B222" s="2" t="e">
        <f>Tabla1[[#This Row],[Nombre insumo]]</f>
        <v>#VALUE!</v>
      </c>
    </row>
    <row r="223" spans="2:2" x14ac:dyDescent="0.25">
      <c r="B223" s="2" t="e">
        <f>Tabla1[[#This Row],[Nombre insumo]]</f>
        <v>#VALUE!</v>
      </c>
    </row>
    <row r="224" spans="2:2" x14ac:dyDescent="0.25">
      <c r="B224" s="2" t="e">
        <f>Tabla1[[#This Row],[Nombre insumo]]</f>
        <v>#VALUE!</v>
      </c>
    </row>
    <row r="225" spans="2:2" x14ac:dyDescent="0.25">
      <c r="B225" s="2" t="e">
        <f>Tabla1[[#This Row],[Nombre insumo]]</f>
        <v>#VALUE!</v>
      </c>
    </row>
    <row r="226" spans="2:2" x14ac:dyDescent="0.25">
      <c r="B226" s="2" t="e">
        <f>Tabla1[[#This Row],[Nombre insumo]]</f>
        <v>#VALUE!</v>
      </c>
    </row>
    <row r="227" spans="2:2" x14ac:dyDescent="0.25">
      <c r="B227" s="2" t="e">
        <f>Tabla1[[#This Row],[Nombre insumo]]</f>
        <v>#VALUE!</v>
      </c>
    </row>
    <row r="228" spans="2:2" x14ac:dyDescent="0.25">
      <c r="B228" s="2" t="e">
        <f>Tabla1[[#This Row],[Nombre insumo]]</f>
        <v>#VALUE!</v>
      </c>
    </row>
    <row r="229" spans="2:2" x14ac:dyDescent="0.25">
      <c r="B229" s="2" t="e">
        <f>Tabla1[[#This Row],[Nombre insumo]]</f>
        <v>#VALUE!</v>
      </c>
    </row>
    <row r="230" spans="2:2" x14ac:dyDescent="0.25">
      <c r="B230" s="2" t="e">
        <f>Tabla1[[#This Row],[Nombre insumo]]</f>
        <v>#VALUE!</v>
      </c>
    </row>
    <row r="231" spans="2:2" x14ac:dyDescent="0.25">
      <c r="B231" s="2" t="e">
        <f>Tabla1[[#This Row],[Nombre insumo]]</f>
        <v>#VALUE!</v>
      </c>
    </row>
    <row r="232" spans="2:2" x14ac:dyDescent="0.25">
      <c r="B232" s="2" t="e">
        <f>Tabla1[[#This Row],[Nombre insumo]]</f>
        <v>#VALUE!</v>
      </c>
    </row>
    <row r="233" spans="2:2" x14ac:dyDescent="0.25">
      <c r="B233" s="2" t="e">
        <f>Tabla1[[#This Row],[Nombre insumo]]</f>
        <v>#VALUE!</v>
      </c>
    </row>
    <row r="234" spans="2:2" x14ac:dyDescent="0.25">
      <c r="B234" s="2" t="e">
        <f>Tabla1[[#This Row],[Nombre insumo]]</f>
        <v>#VALUE!</v>
      </c>
    </row>
    <row r="235" spans="2:2" x14ac:dyDescent="0.25">
      <c r="B235" s="2" t="e">
        <f>Tabla1[[#This Row],[Nombre insumo]]</f>
        <v>#VALUE!</v>
      </c>
    </row>
    <row r="236" spans="2:2" x14ac:dyDescent="0.25">
      <c r="B236" s="2" t="e">
        <f>Tabla1[[#This Row],[Nombre insumo]]</f>
        <v>#VALUE!</v>
      </c>
    </row>
    <row r="237" spans="2:2" x14ac:dyDescent="0.25">
      <c r="B237" s="2" t="e">
        <f>Tabla1[[#This Row],[Nombre insumo]]</f>
        <v>#VALUE!</v>
      </c>
    </row>
    <row r="238" spans="2:2" x14ac:dyDescent="0.25">
      <c r="B238" s="2" t="e">
        <f>Tabla1[[#This Row],[Nombre insumo]]</f>
        <v>#VALUE!</v>
      </c>
    </row>
    <row r="239" spans="2:2" x14ac:dyDescent="0.25">
      <c r="B239" s="2" t="e">
        <f>Tabla1[[#This Row],[Nombre insumo]]</f>
        <v>#VALUE!</v>
      </c>
    </row>
    <row r="240" spans="2:2" x14ac:dyDescent="0.25">
      <c r="B240" s="2" t="e">
        <f>Tabla1[[#This Row],[Nombre insumo]]</f>
        <v>#VALUE!</v>
      </c>
    </row>
    <row r="241" spans="2:2" x14ac:dyDescent="0.25">
      <c r="B241" s="2" t="e">
        <f>Tabla1[[#This Row],[Nombre insumo]]</f>
        <v>#VALUE!</v>
      </c>
    </row>
    <row r="242" spans="2:2" x14ac:dyDescent="0.25">
      <c r="B242" s="2" t="e">
        <f>Tabla1[[#This Row],[Nombre insumo]]</f>
        <v>#VALUE!</v>
      </c>
    </row>
    <row r="243" spans="2:2" x14ac:dyDescent="0.25">
      <c r="B243" s="2" t="e">
        <f>Tabla1[[#This Row],[Nombre insumo]]</f>
        <v>#VALUE!</v>
      </c>
    </row>
    <row r="244" spans="2:2" x14ac:dyDescent="0.25">
      <c r="B244" s="2" t="e">
        <f>Tabla1[[#This Row],[Nombre insumo]]</f>
        <v>#VALUE!</v>
      </c>
    </row>
    <row r="245" spans="2:2" x14ac:dyDescent="0.25">
      <c r="B245" s="2" t="e">
        <f>Tabla1[[#This Row],[Nombre insumo]]</f>
        <v>#VALUE!</v>
      </c>
    </row>
    <row r="246" spans="2:2" x14ac:dyDescent="0.25">
      <c r="B246" s="2" t="e">
        <f>Tabla1[[#This Row],[Nombre insumo]]</f>
        <v>#VALUE!</v>
      </c>
    </row>
    <row r="247" spans="2:2" x14ac:dyDescent="0.25">
      <c r="B247" s="2" t="e">
        <f>Tabla1[[#This Row],[Nombre insumo]]</f>
        <v>#VALUE!</v>
      </c>
    </row>
    <row r="248" spans="2:2" x14ac:dyDescent="0.25">
      <c r="B248" s="2" t="e">
        <f>Tabla1[[#This Row],[Nombre insumo]]</f>
        <v>#VALUE!</v>
      </c>
    </row>
    <row r="249" spans="2:2" x14ac:dyDescent="0.25">
      <c r="B249" s="2" t="e">
        <f>Tabla1[[#This Row],[Nombre insumo]]</f>
        <v>#VALUE!</v>
      </c>
    </row>
    <row r="250" spans="2:2" x14ac:dyDescent="0.25">
      <c r="B250" s="2" t="e">
        <f>Tabla1[[#This Row],[Nombre insumo]]</f>
        <v>#VALUE!</v>
      </c>
    </row>
    <row r="251" spans="2:2" x14ac:dyDescent="0.25">
      <c r="B251" s="2" t="e">
        <f>Tabla1[[#This Row],[Nombre insumo]]</f>
        <v>#VALUE!</v>
      </c>
    </row>
    <row r="252" spans="2:2" x14ac:dyDescent="0.25">
      <c r="B252" s="2" t="e">
        <f>Tabla1[[#This Row],[Nombre insumo]]</f>
        <v>#VALUE!</v>
      </c>
    </row>
    <row r="253" spans="2:2" x14ac:dyDescent="0.25">
      <c r="B253" s="2" t="e">
        <f>Tabla1[[#This Row],[Nombre insumo]]</f>
        <v>#VALUE!</v>
      </c>
    </row>
    <row r="254" spans="2:2" x14ac:dyDescent="0.25">
      <c r="B254" s="2" t="e">
        <f>Tabla1[[#This Row],[Nombre insumo]]</f>
        <v>#VALUE!</v>
      </c>
    </row>
    <row r="255" spans="2:2" x14ac:dyDescent="0.25">
      <c r="B255" s="2" t="e">
        <f>Tabla1[[#This Row],[Nombre insumo]]</f>
        <v>#VALUE!</v>
      </c>
    </row>
    <row r="256" spans="2:2" x14ac:dyDescent="0.25">
      <c r="B256" s="2" t="e">
        <f>Tabla1[[#This Row],[Nombre insumo]]</f>
        <v>#VALUE!</v>
      </c>
    </row>
    <row r="257" spans="2:2" x14ac:dyDescent="0.25">
      <c r="B257" s="2" t="e">
        <f>Tabla1[[#This Row],[Nombre insumo]]</f>
        <v>#VALUE!</v>
      </c>
    </row>
    <row r="258" spans="2:2" x14ac:dyDescent="0.25">
      <c r="B258" s="2" t="e">
        <f>Tabla1[[#This Row],[Nombre insumo]]</f>
        <v>#VALUE!</v>
      </c>
    </row>
    <row r="259" spans="2:2" x14ac:dyDescent="0.25">
      <c r="B259" s="2" t="e">
        <f>Tabla1[[#This Row],[Nombre insumo]]</f>
        <v>#VALUE!</v>
      </c>
    </row>
    <row r="260" spans="2:2" x14ac:dyDescent="0.25">
      <c r="B260" s="2" t="e">
        <f>Tabla1[[#This Row],[Nombre insumo]]</f>
        <v>#VALUE!</v>
      </c>
    </row>
    <row r="261" spans="2:2" x14ac:dyDescent="0.25">
      <c r="B261" s="2" t="e">
        <f>Tabla1[[#This Row],[Nombre insumo]]</f>
        <v>#VALUE!</v>
      </c>
    </row>
    <row r="262" spans="2:2" x14ac:dyDescent="0.25">
      <c r="B262" s="2" t="e">
        <f>Tabla1[[#This Row],[Nombre insumo]]</f>
        <v>#VALUE!</v>
      </c>
    </row>
    <row r="263" spans="2:2" x14ac:dyDescent="0.25">
      <c r="B263" s="2" t="e">
        <f>Tabla1[[#This Row],[Nombre insumo]]</f>
        <v>#VALUE!</v>
      </c>
    </row>
    <row r="264" spans="2:2" x14ac:dyDescent="0.25">
      <c r="B264" s="2" t="e">
        <f>Tabla1[[#This Row],[Nombre insumo]]</f>
        <v>#VALUE!</v>
      </c>
    </row>
    <row r="265" spans="2:2" x14ac:dyDescent="0.25">
      <c r="B265" s="2" t="e">
        <f>Tabla1[[#This Row],[Nombre insumo]]</f>
        <v>#VALUE!</v>
      </c>
    </row>
    <row r="266" spans="2:2" x14ac:dyDescent="0.25">
      <c r="B266" s="2" t="e">
        <f>Tabla1[[#This Row],[Nombre insumo]]</f>
        <v>#VALUE!</v>
      </c>
    </row>
    <row r="267" spans="2:2" x14ac:dyDescent="0.25">
      <c r="B267" s="2" t="e">
        <f>Tabla1[[#This Row],[Nombre insumo]]</f>
        <v>#VALUE!</v>
      </c>
    </row>
    <row r="268" spans="2:2" x14ac:dyDescent="0.25">
      <c r="B268" s="2" t="e">
        <f>Tabla1[[#This Row],[Nombre insumo]]</f>
        <v>#VALUE!</v>
      </c>
    </row>
    <row r="269" spans="2:2" x14ac:dyDescent="0.25">
      <c r="B269" s="2" t="e">
        <f>Tabla1[[#This Row],[Nombre insumo]]</f>
        <v>#VALUE!</v>
      </c>
    </row>
    <row r="270" spans="2:2" x14ac:dyDescent="0.25">
      <c r="B270" s="2" t="e">
        <f>Tabla1[[#This Row],[Nombre insumo]]</f>
        <v>#VALUE!</v>
      </c>
    </row>
    <row r="271" spans="2:2" x14ac:dyDescent="0.25">
      <c r="B271" s="2" t="e">
        <f>Tabla1[[#This Row],[Nombre insumo]]</f>
        <v>#VALUE!</v>
      </c>
    </row>
    <row r="272" spans="2:2" x14ac:dyDescent="0.25">
      <c r="B272" s="2" t="e">
        <f>Tabla1[[#This Row],[Nombre insumo]]</f>
        <v>#VALUE!</v>
      </c>
    </row>
    <row r="273" spans="2:2" x14ac:dyDescent="0.25">
      <c r="B273" s="2" t="e">
        <f>Tabla1[[#This Row],[Nombre insumo]]</f>
        <v>#VALUE!</v>
      </c>
    </row>
    <row r="274" spans="2:2" x14ac:dyDescent="0.25">
      <c r="B274" s="2" t="e">
        <f>Tabla1[[#This Row],[Nombre insumo]]</f>
        <v>#VALUE!</v>
      </c>
    </row>
    <row r="275" spans="2:2" x14ac:dyDescent="0.25">
      <c r="B275" s="2" t="e">
        <f>Tabla1[[#This Row],[Nombre insumo]]</f>
        <v>#VALUE!</v>
      </c>
    </row>
    <row r="276" spans="2:2" x14ac:dyDescent="0.25">
      <c r="B276" s="2" t="e">
        <f>Tabla1[[#This Row],[Nombre insumo]]</f>
        <v>#VALUE!</v>
      </c>
    </row>
    <row r="277" spans="2:2" x14ac:dyDescent="0.25">
      <c r="B277" s="2" t="e">
        <f>Tabla1[[#This Row],[Nombre insumo]]</f>
        <v>#VALUE!</v>
      </c>
    </row>
    <row r="278" spans="2:2" x14ac:dyDescent="0.25">
      <c r="B278" s="2" t="e">
        <f>Tabla1[[#This Row],[Nombre insumo]]</f>
        <v>#VALUE!</v>
      </c>
    </row>
    <row r="279" spans="2:2" x14ac:dyDescent="0.25">
      <c r="B279" s="2" t="e">
        <f>Tabla1[[#This Row],[Nombre insumo]]</f>
        <v>#VALUE!</v>
      </c>
    </row>
    <row r="280" spans="2:2" x14ac:dyDescent="0.25">
      <c r="B280" s="2" t="e">
        <f>Tabla1[[#This Row],[Nombre insumo]]</f>
        <v>#VALUE!</v>
      </c>
    </row>
    <row r="281" spans="2:2" x14ac:dyDescent="0.25">
      <c r="B281" s="2" t="e">
        <f>Tabla1[[#This Row],[Nombre insumo]]</f>
        <v>#VALUE!</v>
      </c>
    </row>
    <row r="282" spans="2:2" x14ac:dyDescent="0.25">
      <c r="B282" s="2" t="e">
        <f>Tabla1[[#This Row],[Nombre insumo]]</f>
        <v>#VALUE!</v>
      </c>
    </row>
    <row r="283" spans="2:2" x14ac:dyDescent="0.25">
      <c r="B283" s="2" t="e">
        <f>Tabla1[[#This Row],[Nombre insumo]]</f>
        <v>#VALUE!</v>
      </c>
    </row>
    <row r="284" spans="2:2" x14ac:dyDescent="0.25">
      <c r="B284" s="2" t="e">
        <f>Tabla1[[#This Row],[Nombre insumo]]</f>
        <v>#VALUE!</v>
      </c>
    </row>
    <row r="285" spans="2:2" x14ac:dyDescent="0.25">
      <c r="B285" s="2" t="e">
        <f>Tabla1[[#This Row],[Nombre insumo]]</f>
        <v>#VALUE!</v>
      </c>
    </row>
    <row r="286" spans="2:2" x14ac:dyDescent="0.25">
      <c r="B286" s="2" t="e">
        <f>Tabla1[[#This Row],[Nombre insumo]]</f>
        <v>#VALUE!</v>
      </c>
    </row>
    <row r="287" spans="2:2" x14ac:dyDescent="0.25">
      <c r="B287" s="2" t="e">
        <f>Tabla1[[#This Row],[Nombre insumo]]</f>
        <v>#VALUE!</v>
      </c>
    </row>
    <row r="288" spans="2:2" x14ac:dyDescent="0.25">
      <c r="B288" s="2" t="e">
        <f>Tabla1[[#This Row],[Nombre insumo]]</f>
        <v>#VALUE!</v>
      </c>
    </row>
    <row r="289" spans="2:2" x14ac:dyDescent="0.25">
      <c r="B289" s="2" t="e">
        <f>Tabla1[[#This Row],[Nombre insumo]]</f>
        <v>#VALUE!</v>
      </c>
    </row>
    <row r="290" spans="2:2" x14ac:dyDescent="0.25">
      <c r="B290" s="2" t="e">
        <f>Tabla1[[#This Row],[Nombre insumo]]</f>
        <v>#VALUE!</v>
      </c>
    </row>
    <row r="291" spans="2:2" x14ac:dyDescent="0.25">
      <c r="B291" s="2" t="e">
        <f>Tabla1[[#This Row],[Nombre insumo]]</f>
        <v>#VALUE!</v>
      </c>
    </row>
    <row r="292" spans="2:2" x14ac:dyDescent="0.25">
      <c r="B292" s="2" t="e">
        <f>Tabla1[[#This Row],[Nombre insumo]]</f>
        <v>#VALUE!</v>
      </c>
    </row>
    <row r="293" spans="2:2" x14ac:dyDescent="0.25">
      <c r="B293" s="2" t="e">
        <f>Tabla1[[#This Row],[Nombre insumo]]</f>
        <v>#VALUE!</v>
      </c>
    </row>
    <row r="294" spans="2:2" x14ac:dyDescent="0.25">
      <c r="B294" s="2" t="e">
        <f>Tabla1[[#This Row],[Nombre insumo]]</f>
        <v>#VALUE!</v>
      </c>
    </row>
    <row r="295" spans="2:2" x14ac:dyDescent="0.25">
      <c r="B295" s="2" t="e">
        <f>Tabla1[[#This Row],[Nombre insumo]]</f>
        <v>#VALUE!</v>
      </c>
    </row>
    <row r="296" spans="2:2" x14ac:dyDescent="0.25">
      <c r="B296" s="2" t="e">
        <f>Tabla1[[#This Row],[Nombre insumo]]</f>
        <v>#VALUE!</v>
      </c>
    </row>
    <row r="297" spans="2:2" x14ac:dyDescent="0.25">
      <c r="B297" s="2" t="e">
        <f>Tabla1[[#This Row],[Nombre insumo]]</f>
        <v>#VALUE!</v>
      </c>
    </row>
    <row r="298" spans="2:2" x14ac:dyDescent="0.25">
      <c r="B298" s="2" t="e">
        <f>Tabla1[[#This Row],[Nombre insumo]]</f>
        <v>#VALUE!</v>
      </c>
    </row>
    <row r="299" spans="2:2" x14ac:dyDescent="0.25">
      <c r="B299" s="2" t="e">
        <f>Tabla1[[#This Row],[Nombre insumo]]</f>
        <v>#VALUE!</v>
      </c>
    </row>
    <row r="300" spans="2:2" x14ac:dyDescent="0.25">
      <c r="B300" s="2" t="e">
        <f>Tabla1[[#This Row],[Nombre insumo]]</f>
        <v>#VALUE!</v>
      </c>
    </row>
    <row r="301" spans="2:2" x14ac:dyDescent="0.25">
      <c r="B301" s="2" t="e">
        <f>Tabla1[[#This Row],[Nombre insumo]]</f>
        <v>#VALUE!</v>
      </c>
    </row>
    <row r="302" spans="2:2" x14ac:dyDescent="0.25">
      <c r="B302" s="2" t="e">
        <f>Tabla1[[#This Row],[Nombre insumo]]</f>
        <v>#VALUE!</v>
      </c>
    </row>
    <row r="303" spans="2:2" x14ac:dyDescent="0.25">
      <c r="B303" s="2" t="e">
        <f>Tabla1[[#This Row],[Nombre insumo]]</f>
        <v>#VALUE!</v>
      </c>
    </row>
    <row r="304" spans="2:2" x14ac:dyDescent="0.25">
      <c r="B304" s="2" t="e">
        <f>Tabla1[[#This Row],[Nombre insumo]]</f>
        <v>#VALUE!</v>
      </c>
    </row>
    <row r="305" spans="2:2" x14ac:dyDescent="0.25">
      <c r="B305" s="2" t="e">
        <f>Tabla1[[#This Row],[Nombre insumo]]</f>
        <v>#VALUE!</v>
      </c>
    </row>
    <row r="306" spans="2:2" x14ac:dyDescent="0.25">
      <c r="B306" s="2" t="e">
        <f>Tabla1[[#This Row],[Nombre insumo]]</f>
        <v>#VALUE!</v>
      </c>
    </row>
    <row r="307" spans="2:2" x14ac:dyDescent="0.25">
      <c r="B307" s="2" t="e">
        <f>Tabla1[[#This Row],[Nombre insumo]]</f>
        <v>#VALUE!</v>
      </c>
    </row>
    <row r="308" spans="2:2" x14ac:dyDescent="0.25">
      <c r="B308" s="2" t="e">
        <f>Tabla1[[#This Row],[Nombre insumo]]</f>
        <v>#VALUE!</v>
      </c>
    </row>
    <row r="309" spans="2:2" x14ac:dyDescent="0.25">
      <c r="B309" s="2" t="e">
        <f>Tabla1[[#This Row],[Nombre insumo]]</f>
        <v>#VALUE!</v>
      </c>
    </row>
    <row r="310" spans="2:2" x14ac:dyDescent="0.25">
      <c r="B310" s="2" t="e">
        <f>Tabla1[[#This Row],[Nombre insumo]]</f>
        <v>#VALUE!</v>
      </c>
    </row>
    <row r="311" spans="2:2" x14ac:dyDescent="0.25">
      <c r="B311" s="2" t="e">
        <f>Tabla1[[#This Row],[Nombre insumo]]</f>
        <v>#VALUE!</v>
      </c>
    </row>
    <row r="312" spans="2:2" x14ac:dyDescent="0.25">
      <c r="B312" s="2" t="e">
        <f>Tabla1[[#This Row],[Nombre insumo]]</f>
        <v>#VALUE!</v>
      </c>
    </row>
    <row r="313" spans="2:2" x14ac:dyDescent="0.25">
      <c r="B313" s="2" t="e">
        <f>Tabla1[[#This Row],[Nombre insumo]]</f>
        <v>#VALUE!</v>
      </c>
    </row>
    <row r="314" spans="2:2" x14ac:dyDescent="0.25">
      <c r="B314" s="2" t="e">
        <f>Tabla1[[#This Row],[Nombre insumo]]</f>
        <v>#VALUE!</v>
      </c>
    </row>
    <row r="315" spans="2:2" x14ac:dyDescent="0.25">
      <c r="B315" s="2" t="e">
        <f>Tabla1[[#This Row],[Nombre insumo]]</f>
        <v>#VALUE!</v>
      </c>
    </row>
    <row r="316" spans="2:2" x14ac:dyDescent="0.25">
      <c r="B316" s="2" t="e">
        <f>Tabla1[[#This Row],[Nombre insumo]]</f>
        <v>#VALUE!</v>
      </c>
    </row>
    <row r="317" spans="2:2" x14ac:dyDescent="0.25">
      <c r="B317" s="2" t="e">
        <f>Tabla1[[#This Row],[Nombre insumo]]</f>
        <v>#VALUE!</v>
      </c>
    </row>
    <row r="318" spans="2:2" x14ac:dyDescent="0.25">
      <c r="B318" s="2" t="e">
        <f>Tabla1[[#This Row],[Nombre insumo]]</f>
        <v>#VALUE!</v>
      </c>
    </row>
    <row r="319" spans="2:2" x14ac:dyDescent="0.25">
      <c r="B319" s="2" t="e">
        <f>Tabla1[[#This Row],[Nombre insumo]]</f>
        <v>#VALUE!</v>
      </c>
    </row>
    <row r="320" spans="2:2" x14ac:dyDescent="0.25">
      <c r="B320" s="2" t="e">
        <f>Tabla1[[#This Row],[Nombre insumo]]</f>
        <v>#VALUE!</v>
      </c>
    </row>
    <row r="321" spans="2:2" x14ac:dyDescent="0.25">
      <c r="B321" s="2" t="e">
        <f>Tabla1[[#This Row],[Nombre insumo]]</f>
        <v>#VALUE!</v>
      </c>
    </row>
    <row r="322" spans="2:2" x14ac:dyDescent="0.25">
      <c r="B322" s="2" t="e">
        <f>Tabla1[[#This Row],[Nombre insumo]]</f>
        <v>#VALUE!</v>
      </c>
    </row>
    <row r="323" spans="2:2" x14ac:dyDescent="0.25">
      <c r="B323" s="2" t="e">
        <f>Tabla1[[#This Row],[Nombre insumo]]</f>
        <v>#VALUE!</v>
      </c>
    </row>
    <row r="324" spans="2:2" x14ac:dyDescent="0.25">
      <c r="B324" s="2" t="e">
        <f>Tabla1[[#This Row],[Nombre insumo]]</f>
        <v>#VALUE!</v>
      </c>
    </row>
    <row r="325" spans="2:2" x14ac:dyDescent="0.25">
      <c r="B325" s="2" t="e">
        <f>Tabla1[[#This Row],[Nombre insumo]]</f>
        <v>#VALUE!</v>
      </c>
    </row>
    <row r="326" spans="2:2" x14ac:dyDescent="0.25">
      <c r="B326" s="2" t="e">
        <f>Tabla1[[#This Row],[Nombre insumo]]</f>
        <v>#VALUE!</v>
      </c>
    </row>
    <row r="327" spans="2:2" x14ac:dyDescent="0.25">
      <c r="B327" s="2" t="e">
        <f>Tabla1[[#This Row],[Nombre insumo]]</f>
        <v>#VALUE!</v>
      </c>
    </row>
    <row r="328" spans="2:2" x14ac:dyDescent="0.25">
      <c r="B328" s="2" t="e">
        <f>Tabla1[[#This Row],[Nombre insumo]]</f>
        <v>#VALUE!</v>
      </c>
    </row>
    <row r="329" spans="2:2" x14ac:dyDescent="0.25">
      <c r="B329" s="2" t="e">
        <f>Tabla1[[#This Row],[Nombre insumo]]</f>
        <v>#VALUE!</v>
      </c>
    </row>
    <row r="330" spans="2:2" x14ac:dyDescent="0.25">
      <c r="B330" s="2" t="e">
        <f>Tabla1[[#This Row],[Nombre insumo]]</f>
        <v>#VALUE!</v>
      </c>
    </row>
    <row r="331" spans="2:2" x14ac:dyDescent="0.25">
      <c r="B331" s="2" t="e">
        <f>Tabla1[[#This Row],[Nombre insumo]]</f>
        <v>#VALUE!</v>
      </c>
    </row>
    <row r="332" spans="2:2" x14ac:dyDescent="0.25">
      <c r="B332" s="2" t="e">
        <f>Tabla1[[#This Row],[Nombre insumo]]</f>
        <v>#VALUE!</v>
      </c>
    </row>
    <row r="333" spans="2:2" x14ac:dyDescent="0.25">
      <c r="B333" s="2" t="e">
        <f>Tabla1[[#This Row],[Nombre insumo]]</f>
        <v>#VALUE!</v>
      </c>
    </row>
    <row r="334" spans="2:2" x14ac:dyDescent="0.25">
      <c r="B334" s="2" t="e">
        <f>Tabla1[[#This Row],[Nombre insumo]]</f>
        <v>#VALUE!</v>
      </c>
    </row>
    <row r="335" spans="2:2" x14ac:dyDescent="0.25">
      <c r="B335" s="2" t="e">
        <f>Tabla1[[#This Row],[Nombre insumo]]</f>
        <v>#VALUE!</v>
      </c>
    </row>
    <row r="336" spans="2:2" x14ac:dyDescent="0.25">
      <c r="B336" s="2" t="e">
        <f>Tabla1[[#This Row],[Nombre insumo]]</f>
        <v>#VALUE!</v>
      </c>
    </row>
    <row r="337" spans="2:2" x14ac:dyDescent="0.25">
      <c r="B337" s="2" t="e">
        <f>Tabla1[[#This Row],[Nombre insumo]]</f>
        <v>#VALUE!</v>
      </c>
    </row>
    <row r="338" spans="2:2" x14ac:dyDescent="0.25">
      <c r="B338" s="2" t="e">
        <f>Tabla1[[#This Row],[Nombre insumo]]</f>
        <v>#VALUE!</v>
      </c>
    </row>
    <row r="339" spans="2:2" x14ac:dyDescent="0.25">
      <c r="B339" s="2" t="e">
        <f>Tabla1[[#This Row],[Nombre insumo]]</f>
        <v>#VALUE!</v>
      </c>
    </row>
    <row r="340" spans="2:2" x14ac:dyDescent="0.25">
      <c r="B340" s="2" t="e">
        <f>Tabla1[[#This Row],[Nombre insumo]]</f>
        <v>#VALUE!</v>
      </c>
    </row>
    <row r="341" spans="2:2" x14ac:dyDescent="0.25">
      <c r="B341" s="2" t="e">
        <f>Tabla1[[#This Row],[Nombre insumo]]</f>
        <v>#VALUE!</v>
      </c>
    </row>
    <row r="342" spans="2:2" x14ac:dyDescent="0.25">
      <c r="B342" s="2" t="e">
        <f>Tabla1[[#This Row],[Nombre insumo]]</f>
        <v>#VALUE!</v>
      </c>
    </row>
    <row r="343" spans="2:2" x14ac:dyDescent="0.25">
      <c r="B343" s="2" t="e">
        <f>Tabla1[[#This Row],[Nombre insumo]]</f>
        <v>#VALUE!</v>
      </c>
    </row>
    <row r="344" spans="2:2" x14ac:dyDescent="0.25">
      <c r="B344" s="2" t="e">
        <f>Tabla1[[#This Row],[Nombre insumo]]</f>
        <v>#VALUE!</v>
      </c>
    </row>
    <row r="345" spans="2:2" x14ac:dyDescent="0.25">
      <c r="B345" s="2" t="e">
        <f>Tabla1[[#This Row],[Nombre insumo]]</f>
        <v>#VALUE!</v>
      </c>
    </row>
    <row r="346" spans="2:2" x14ac:dyDescent="0.25">
      <c r="B346" s="2" t="e">
        <f>Tabla1[[#This Row],[Nombre insumo]]</f>
        <v>#VALUE!</v>
      </c>
    </row>
    <row r="347" spans="2:2" x14ac:dyDescent="0.25">
      <c r="B347" s="2" t="e">
        <f>Tabla1[[#This Row],[Nombre insumo]]</f>
        <v>#VALUE!</v>
      </c>
    </row>
    <row r="348" spans="2:2" x14ac:dyDescent="0.25">
      <c r="B348" s="2" t="e">
        <f>Tabla1[[#This Row],[Nombre insumo]]</f>
        <v>#VALUE!</v>
      </c>
    </row>
    <row r="349" spans="2:2" x14ac:dyDescent="0.25">
      <c r="B349" s="2" t="e">
        <f>Tabla1[[#This Row],[Nombre insumo]]</f>
        <v>#VALUE!</v>
      </c>
    </row>
    <row r="350" spans="2:2" x14ac:dyDescent="0.25">
      <c r="B350" s="2" t="e">
        <f>Tabla1[[#This Row],[Nombre insumo]]</f>
        <v>#VALUE!</v>
      </c>
    </row>
    <row r="351" spans="2:2" x14ac:dyDescent="0.25">
      <c r="B351" s="2" t="e">
        <f>Tabla1[[#This Row],[Nombre insumo]]</f>
        <v>#VALUE!</v>
      </c>
    </row>
    <row r="352" spans="2:2" x14ac:dyDescent="0.25">
      <c r="B352" s="2" t="e">
        <f>Tabla1[[#This Row],[Nombre insumo]]</f>
        <v>#VALUE!</v>
      </c>
    </row>
    <row r="353" spans="2:2" x14ac:dyDescent="0.25">
      <c r="B353" s="2" t="e">
        <f>Tabla1[[#This Row],[Nombre insumo]]</f>
        <v>#VALUE!</v>
      </c>
    </row>
    <row r="354" spans="2:2" x14ac:dyDescent="0.25">
      <c r="B354" s="2" t="e">
        <f>Tabla1[[#This Row],[Nombre insumo]]</f>
        <v>#VALUE!</v>
      </c>
    </row>
    <row r="355" spans="2:2" x14ac:dyDescent="0.25">
      <c r="B355" s="2" t="e">
        <f>Tabla1[[#This Row],[Nombre insumo]]</f>
        <v>#VALUE!</v>
      </c>
    </row>
    <row r="356" spans="2:2" x14ac:dyDescent="0.25">
      <c r="B356" s="2" t="e">
        <f>Tabla1[[#This Row],[Nombre insumo]]</f>
        <v>#VALUE!</v>
      </c>
    </row>
    <row r="357" spans="2:2" x14ac:dyDescent="0.25">
      <c r="B357" s="2" t="e">
        <f>Tabla1[[#This Row],[Nombre insumo]]</f>
        <v>#VALUE!</v>
      </c>
    </row>
    <row r="358" spans="2:2" x14ac:dyDescent="0.25">
      <c r="B358" s="2" t="e">
        <f>Tabla1[[#This Row],[Nombre insumo]]</f>
        <v>#VALUE!</v>
      </c>
    </row>
    <row r="359" spans="2:2" x14ac:dyDescent="0.25">
      <c r="B359" s="2" t="e">
        <f>Tabla1[[#This Row],[Nombre insumo]]</f>
        <v>#VALUE!</v>
      </c>
    </row>
    <row r="360" spans="2:2" x14ac:dyDescent="0.25">
      <c r="B360" s="2" t="e">
        <f>Tabla1[[#This Row],[Nombre insumo]]</f>
        <v>#VALUE!</v>
      </c>
    </row>
    <row r="361" spans="2:2" x14ac:dyDescent="0.25">
      <c r="B361" s="2" t="e">
        <f>Tabla1[[#This Row],[Nombre insumo]]</f>
        <v>#VALUE!</v>
      </c>
    </row>
    <row r="362" spans="2:2" x14ac:dyDescent="0.25">
      <c r="B362" s="2" t="e">
        <f>Tabla1[[#This Row],[Nombre insumo]]</f>
        <v>#VALUE!</v>
      </c>
    </row>
    <row r="363" spans="2:2" x14ac:dyDescent="0.25">
      <c r="B363" s="2" t="e">
        <f>Tabla1[[#This Row],[Nombre insumo]]</f>
        <v>#VALUE!</v>
      </c>
    </row>
    <row r="364" spans="2:2" x14ac:dyDescent="0.25">
      <c r="B364" s="2" t="e">
        <f>Tabla1[[#This Row],[Nombre insumo]]</f>
        <v>#VALUE!</v>
      </c>
    </row>
    <row r="365" spans="2:2" x14ac:dyDescent="0.25">
      <c r="B365" s="2" t="e">
        <f>Tabla1[[#This Row],[Nombre insumo]]</f>
        <v>#VALUE!</v>
      </c>
    </row>
    <row r="366" spans="2:2" x14ac:dyDescent="0.25">
      <c r="B366" s="2" t="e">
        <f>Tabla1[[#This Row],[Nombre insumo]]</f>
        <v>#VALUE!</v>
      </c>
    </row>
    <row r="367" spans="2:2" x14ac:dyDescent="0.25">
      <c r="B367" s="2" t="e">
        <f>Tabla1[[#This Row],[Nombre insumo]]</f>
        <v>#VALUE!</v>
      </c>
    </row>
    <row r="368" spans="2:2" x14ac:dyDescent="0.25">
      <c r="B368" s="2" t="e">
        <f>Tabla1[[#This Row],[Nombre insumo]]</f>
        <v>#VALUE!</v>
      </c>
    </row>
    <row r="369" spans="2:2" x14ac:dyDescent="0.25">
      <c r="B369" s="2" t="e">
        <f>Tabla1[[#This Row],[Nombre insumo]]</f>
        <v>#VALUE!</v>
      </c>
    </row>
    <row r="370" spans="2:2" x14ac:dyDescent="0.25">
      <c r="B370" s="2" t="e">
        <f>Tabla1[[#This Row],[Nombre insumo]]</f>
        <v>#VALUE!</v>
      </c>
    </row>
    <row r="371" spans="2:2" x14ac:dyDescent="0.25">
      <c r="B371" s="2" t="e">
        <f>Tabla1[[#This Row],[Nombre insumo]]</f>
        <v>#VALUE!</v>
      </c>
    </row>
    <row r="372" spans="2:2" x14ac:dyDescent="0.25">
      <c r="B372" s="2" t="e">
        <f>Tabla1[[#This Row],[Nombre insumo]]</f>
        <v>#VALUE!</v>
      </c>
    </row>
    <row r="373" spans="2:2" x14ac:dyDescent="0.25">
      <c r="B373" s="2" t="e">
        <f>Tabla1[[#This Row],[Nombre insumo]]</f>
        <v>#VALUE!</v>
      </c>
    </row>
    <row r="374" spans="2:2" x14ac:dyDescent="0.25">
      <c r="B374" s="2" t="e">
        <f>Tabla1[[#This Row],[Nombre insumo]]</f>
        <v>#VALUE!</v>
      </c>
    </row>
    <row r="375" spans="2:2" x14ac:dyDescent="0.25">
      <c r="B375" s="2" t="e">
        <f>Tabla1[[#This Row],[Nombre insumo]]</f>
        <v>#VALUE!</v>
      </c>
    </row>
    <row r="376" spans="2:2" x14ac:dyDescent="0.25">
      <c r="B376" s="2" t="e">
        <f>Tabla1[[#This Row],[Nombre insumo]]</f>
        <v>#VALUE!</v>
      </c>
    </row>
    <row r="377" spans="2:2" x14ac:dyDescent="0.25">
      <c r="B377" s="2" t="e">
        <f>Tabla1[[#This Row],[Nombre insumo]]</f>
        <v>#VALUE!</v>
      </c>
    </row>
    <row r="378" spans="2:2" x14ac:dyDescent="0.25">
      <c r="B378" s="2" t="e">
        <f>Tabla1[[#This Row],[Nombre insumo]]</f>
        <v>#VALUE!</v>
      </c>
    </row>
    <row r="379" spans="2:2" x14ac:dyDescent="0.25">
      <c r="B379" s="2" t="e">
        <f>Tabla1[[#This Row],[Nombre insumo]]</f>
        <v>#VALUE!</v>
      </c>
    </row>
    <row r="380" spans="2:2" x14ac:dyDescent="0.25">
      <c r="B380" s="2" t="e">
        <f>Tabla1[[#This Row],[Nombre insumo]]</f>
        <v>#VALUE!</v>
      </c>
    </row>
    <row r="381" spans="2:2" x14ac:dyDescent="0.25">
      <c r="B381" s="2" t="e">
        <f>Tabla1[[#This Row],[Nombre insumo]]</f>
        <v>#VALUE!</v>
      </c>
    </row>
    <row r="382" spans="2:2" x14ac:dyDescent="0.25">
      <c r="B382" s="2" t="e">
        <f>Tabla1[[#This Row],[Nombre insumo]]</f>
        <v>#VALUE!</v>
      </c>
    </row>
    <row r="383" spans="2:2" x14ac:dyDescent="0.25">
      <c r="B383" s="2" t="e">
        <f>Tabla1[[#This Row],[Nombre insumo]]</f>
        <v>#VALUE!</v>
      </c>
    </row>
    <row r="384" spans="2:2" x14ac:dyDescent="0.25">
      <c r="B384" s="2" t="e">
        <f>Tabla1[[#This Row],[Nombre insumo]]</f>
        <v>#VALUE!</v>
      </c>
    </row>
    <row r="385" spans="2:2" x14ac:dyDescent="0.25">
      <c r="B385" s="2" t="e">
        <f>Tabla1[[#This Row],[Nombre insumo]]</f>
        <v>#VALUE!</v>
      </c>
    </row>
    <row r="386" spans="2:2" x14ac:dyDescent="0.25">
      <c r="B386" s="2" t="e">
        <f>Tabla1[[#This Row],[Nombre insumo]]</f>
        <v>#VALUE!</v>
      </c>
    </row>
    <row r="387" spans="2:2" x14ac:dyDescent="0.25">
      <c r="B387" s="2" t="e">
        <f>Tabla1[[#This Row],[Nombre insumo]]</f>
        <v>#VALUE!</v>
      </c>
    </row>
    <row r="388" spans="2:2" x14ac:dyDescent="0.25">
      <c r="B388" s="2" t="e">
        <f>Tabla1[[#This Row],[Nombre insumo]]</f>
        <v>#VALUE!</v>
      </c>
    </row>
    <row r="389" spans="2:2" x14ac:dyDescent="0.25">
      <c r="B389" s="2" t="e">
        <f>Tabla1[[#This Row],[Nombre insumo]]</f>
        <v>#VALUE!</v>
      </c>
    </row>
    <row r="390" spans="2:2" x14ac:dyDescent="0.25">
      <c r="B390" s="2" t="e">
        <f>Tabla1[[#This Row],[Nombre insumo]]</f>
        <v>#VALUE!</v>
      </c>
    </row>
    <row r="391" spans="2:2" x14ac:dyDescent="0.25">
      <c r="B391" s="2" t="e">
        <f>Tabla1[[#This Row],[Nombre insumo]]</f>
        <v>#VALUE!</v>
      </c>
    </row>
    <row r="392" spans="2:2" x14ac:dyDescent="0.25">
      <c r="B392" s="2" t="e">
        <f>Tabla1[[#This Row],[Nombre insumo]]</f>
        <v>#VALUE!</v>
      </c>
    </row>
    <row r="393" spans="2:2" x14ac:dyDescent="0.25">
      <c r="B393" s="2" t="e">
        <f>Tabla1[[#This Row],[Nombre insumo]]</f>
        <v>#VALUE!</v>
      </c>
    </row>
    <row r="394" spans="2:2" x14ac:dyDescent="0.25">
      <c r="B394" s="2" t="e">
        <f>Tabla1[[#This Row],[Nombre insumo]]</f>
        <v>#VALUE!</v>
      </c>
    </row>
    <row r="395" spans="2:2" x14ac:dyDescent="0.25">
      <c r="B395" s="2" t="e">
        <f>Tabla1[[#This Row],[Nombre insumo]]</f>
        <v>#VALUE!</v>
      </c>
    </row>
    <row r="396" spans="2:2" x14ac:dyDescent="0.25">
      <c r="B396" s="2" t="e">
        <f>Tabla1[[#This Row],[Nombre insumo]]</f>
        <v>#VALUE!</v>
      </c>
    </row>
    <row r="397" spans="2:2" x14ac:dyDescent="0.25">
      <c r="B397" s="2" t="e">
        <f>Tabla1[[#This Row],[Nombre insumo]]</f>
        <v>#VALUE!</v>
      </c>
    </row>
    <row r="398" spans="2:2" x14ac:dyDescent="0.25">
      <c r="B398" s="2" t="e">
        <f>Tabla1[[#This Row],[Nombre insumo]]</f>
        <v>#VALUE!</v>
      </c>
    </row>
    <row r="399" spans="2:2" x14ac:dyDescent="0.25">
      <c r="B399" s="2" t="e">
        <f>Tabla1[[#This Row],[Nombre insumo]]</f>
        <v>#VALUE!</v>
      </c>
    </row>
    <row r="400" spans="2:2" x14ac:dyDescent="0.25">
      <c r="B400" s="2" t="e">
        <f>Tabla1[[#This Row],[Nombre insumo]]</f>
        <v>#VALUE!</v>
      </c>
    </row>
    <row r="401" spans="2:2" x14ac:dyDescent="0.25">
      <c r="B401" s="2" t="e">
        <f>Tabla1[[#This Row],[Nombre insumo]]</f>
        <v>#VALUE!</v>
      </c>
    </row>
    <row r="402" spans="2:2" x14ac:dyDescent="0.25">
      <c r="B402" s="2" t="e">
        <f>Tabla1[[#This Row],[Nombre insumo]]</f>
        <v>#VALUE!</v>
      </c>
    </row>
    <row r="403" spans="2:2" x14ac:dyDescent="0.25">
      <c r="B403" s="2" t="e">
        <f>Tabla1[[#This Row],[Nombre insumo]]</f>
        <v>#VALUE!</v>
      </c>
    </row>
    <row r="404" spans="2:2" x14ac:dyDescent="0.25">
      <c r="B404" s="2" t="e">
        <f>Tabla1[[#This Row],[Nombre insumo]]</f>
        <v>#VALUE!</v>
      </c>
    </row>
    <row r="405" spans="2:2" x14ac:dyDescent="0.25">
      <c r="B405" s="2" t="e">
        <f>Tabla1[[#This Row],[Nombre insumo]]</f>
        <v>#VALUE!</v>
      </c>
    </row>
    <row r="406" spans="2:2" x14ac:dyDescent="0.25">
      <c r="B406" s="2" t="e">
        <f>Tabla1[[#This Row],[Nombre insumo]]</f>
        <v>#VALUE!</v>
      </c>
    </row>
    <row r="407" spans="2:2" x14ac:dyDescent="0.25">
      <c r="B407" s="2" t="e">
        <f>Tabla1[[#This Row],[Nombre insumo]]</f>
        <v>#VALUE!</v>
      </c>
    </row>
    <row r="408" spans="2:2" x14ac:dyDescent="0.25">
      <c r="B408" s="2" t="e">
        <f>Tabla1[[#This Row],[Nombre insumo]]</f>
        <v>#VALUE!</v>
      </c>
    </row>
    <row r="409" spans="2:2" x14ac:dyDescent="0.25">
      <c r="B409" s="2" t="e">
        <f>Tabla1[[#This Row],[Nombre insumo]]</f>
        <v>#VALUE!</v>
      </c>
    </row>
    <row r="410" spans="2:2" x14ac:dyDescent="0.25">
      <c r="B410" s="2" t="e">
        <f>Tabla1[[#This Row],[Nombre insumo]]</f>
        <v>#VALUE!</v>
      </c>
    </row>
    <row r="411" spans="2:2" x14ac:dyDescent="0.25">
      <c r="B411" s="2" t="e">
        <f>Tabla1[[#This Row],[Nombre insumo]]</f>
        <v>#VALUE!</v>
      </c>
    </row>
    <row r="412" spans="2:2" x14ac:dyDescent="0.25">
      <c r="B412" s="2" t="e">
        <f>Tabla1[[#This Row],[Nombre insumo]]</f>
        <v>#VALUE!</v>
      </c>
    </row>
    <row r="413" spans="2:2" x14ac:dyDescent="0.25">
      <c r="B413" s="2" t="e">
        <f>Tabla1[[#This Row],[Nombre insumo]]</f>
        <v>#VALUE!</v>
      </c>
    </row>
    <row r="414" spans="2:2" x14ac:dyDescent="0.25">
      <c r="B414" s="2" t="e">
        <f>Tabla1[[#This Row],[Nombre insumo]]</f>
        <v>#VALUE!</v>
      </c>
    </row>
    <row r="415" spans="2:2" x14ac:dyDescent="0.25">
      <c r="B415" s="2" t="e">
        <f>Tabla1[[#This Row],[Nombre insumo]]</f>
        <v>#VALUE!</v>
      </c>
    </row>
    <row r="416" spans="2:2" x14ac:dyDescent="0.25">
      <c r="B416" s="2" t="e">
        <f>Tabla1[[#This Row],[Nombre insumo]]</f>
        <v>#VALUE!</v>
      </c>
    </row>
    <row r="417" spans="2:2" x14ac:dyDescent="0.25">
      <c r="B417" s="2" t="e">
        <f>Tabla1[[#This Row],[Nombre insumo]]</f>
        <v>#VALUE!</v>
      </c>
    </row>
    <row r="418" spans="2:2" x14ac:dyDescent="0.25">
      <c r="B418" s="2" t="e">
        <f>Tabla1[[#This Row],[Nombre insumo]]</f>
        <v>#VALUE!</v>
      </c>
    </row>
    <row r="419" spans="2:2" x14ac:dyDescent="0.25">
      <c r="B419" s="2" t="e">
        <f>Tabla1[[#This Row],[Nombre insumo]]</f>
        <v>#VALUE!</v>
      </c>
    </row>
    <row r="420" spans="2:2" x14ac:dyDescent="0.25">
      <c r="B420" s="2" t="e">
        <f>Tabla1[[#This Row],[Nombre insumo]]</f>
        <v>#VALUE!</v>
      </c>
    </row>
    <row r="421" spans="2:2" x14ac:dyDescent="0.25">
      <c r="B421" s="2" t="e">
        <f>Tabla1[[#This Row],[Nombre insumo]]</f>
        <v>#VALUE!</v>
      </c>
    </row>
    <row r="422" spans="2:2" x14ac:dyDescent="0.25">
      <c r="B422" s="2" t="e">
        <f>Tabla1[[#This Row],[Nombre insumo]]</f>
        <v>#VALUE!</v>
      </c>
    </row>
    <row r="423" spans="2:2" x14ac:dyDescent="0.25">
      <c r="B423" s="2" t="e">
        <f>Tabla1[[#This Row],[Nombre insumo]]</f>
        <v>#VALUE!</v>
      </c>
    </row>
    <row r="424" spans="2:2" x14ac:dyDescent="0.25">
      <c r="B424" s="2" t="e">
        <f>Tabla1[[#This Row],[Nombre insumo]]</f>
        <v>#VALUE!</v>
      </c>
    </row>
    <row r="425" spans="2:2" x14ac:dyDescent="0.25">
      <c r="B425" s="2" t="e">
        <f>Tabla1[[#This Row],[Nombre insumo]]</f>
        <v>#VALUE!</v>
      </c>
    </row>
    <row r="426" spans="2:2" x14ac:dyDescent="0.25">
      <c r="B426" s="2" t="e">
        <f>Tabla1[[#This Row],[Nombre insumo]]</f>
        <v>#VALUE!</v>
      </c>
    </row>
    <row r="427" spans="2:2" x14ac:dyDescent="0.25">
      <c r="B427" s="2" t="e">
        <f>Tabla1[[#This Row],[Nombre insumo]]</f>
        <v>#VALUE!</v>
      </c>
    </row>
    <row r="428" spans="2:2" x14ac:dyDescent="0.25">
      <c r="B428" s="2" t="e">
        <f>Tabla1[[#This Row],[Nombre insumo]]</f>
        <v>#VALUE!</v>
      </c>
    </row>
    <row r="429" spans="2:2" x14ac:dyDescent="0.25">
      <c r="B429" s="2" t="e">
        <f>Tabla1[[#This Row],[Nombre insumo]]</f>
        <v>#VALUE!</v>
      </c>
    </row>
    <row r="430" spans="2:2" x14ac:dyDescent="0.25">
      <c r="B430" s="2" t="e">
        <f>Tabla1[[#This Row],[Nombre insumo]]</f>
        <v>#VALUE!</v>
      </c>
    </row>
    <row r="431" spans="2:2" x14ac:dyDescent="0.25">
      <c r="B431" s="2" t="e">
        <f>Tabla1[[#This Row],[Nombre insumo]]</f>
        <v>#VALUE!</v>
      </c>
    </row>
    <row r="432" spans="2:2" x14ac:dyDescent="0.25">
      <c r="B432" s="2" t="e">
        <f>Tabla1[[#This Row],[Nombre insumo]]</f>
        <v>#VALUE!</v>
      </c>
    </row>
    <row r="433" spans="2:2" x14ac:dyDescent="0.25">
      <c r="B433" s="2" t="e">
        <f>Tabla1[[#This Row],[Nombre insumo]]</f>
        <v>#VALUE!</v>
      </c>
    </row>
    <row r="434" spans="2:2" x14ac:dyDescent="0.25">
      <c r="B434" s="2" t="e">
        <f>Tabla1[[#This Row],[Nombre insumo]]</f>
        <v>#VALUE!</v>
      </c>
    </row>
    <row r="435" spans="2:2" x14ac:dyDescent="0.25">
      <c r="B435" s="2" t="e">
        <f>Tabla1[[#This Row],[Nombre insumo]]</f>
        <v>#VALUE!</v>
      </c>
    </row>
    <row r="436" spans="2:2" x14ac:dyDescent="0.25">
      <c r="B436" s="2" t="e">
        <f>Tabla1[[#This Row],[Nombre insumo]]</f>
        <v>#VALUE!</v>
      </c>
    </row>
    <row r="437" spans="2:2" x14ac:dyDescent="0.25">
      <c r="B437" s="2" t="e">
        <f>Tabla1[[#This Row],[Nombre insumo]]</f>
        <v>#VALUE!</v>
      </c>
    </row>
    <row r="438" spans="2:2" x14ac:dyDescent="0.25">
      <c r="B438" s="2" t="e">
        <f>Tabla1[[#This Row],[Nombre insumo]]</f>
        <v>#VALUE!</v>
      </c>
    </row>
    <row r="439" spans="2:2" x14ac:dyDescent="0.25">
      <c r="B439" s="2" t="e">
        <f>Tabla1[[#This Row],[Nombre insumo]]</f>
        <v>#VALUE!</v>
      </c>
    </row>
    <row r="440" spans="2:2" x14ac:dyDescent="0.25">
      <c r="B440" s="2" t="e">
        <f>Tabla1[[#This Row],[Nombre insumo]]</f>
        <v>#VALUE!</v>
      </c>
    </row>
    <row r="441" spans="2:2" x14ac:dyDescent="0.25">
      <c r="B441" s="2" t="e">
        <f>Tabla1[[#This Row],[Nombre insumo]]</f>
        <v>#VALUE!</v>
      </c>
    </row>
    <row r="442" spans="2:2" x14ac:dyDescent="0.25">
      <c r="B442" s="2" t="e">
        <f>Tabla1[[#This Row],[Nombre insumo]]</f>
        <v>#VALUE!</v>
      </c>
    </row>
    <row r="443" spans="2:2" x14ac:dyDescent="0.25">
      <c r="B443" s="2" t="e">
        <f>Tabla1[[#This Row],[Nombre insumo]]</f>
        <v>#VALUE!</v>
      </c>
    </row>
    <row r="444" spans="2:2" x14ac:dyDescent="0.25">
      <c r="B444" s="2" t="e">
        <f>Tabla1[[#This Row],[Nombre insumo]]</f>
        <v>#VALUE!</v>
      </c>
    </row>
    <row r="445" spans="2:2" x14ac:dyDescent="0.25">
      <c r="B445" s="2" t="e">
        <f>Tabla1[[#This Row],[Nombre insumo]]</f>
        <v>#VALUE!</v>
      </c>
    </row>
    <row r="446" spans="2:2" x14ac:dyDescent="0.25">
      <c r="B446" s="2" t="e">
        <f>Tabla1[[#This Row],[Nombre insumo]]</f>
        <v>#VALUE!</v>
      </c>
    </row>
    <row r="447" spans="2:2" x14ac:dyDescent="0.25">
      <c r="B447" s="2" t="e">
        <f>Tabla1[[#This Row],[Nombre insumo]]</f>
        <v>#VALUE!</v>
      </c>
    </row>
    <row r="448" spans="2:2" x14ac:dyDescent="0.25">
      <c r="B448" s="2" t="e">
        <f>Tabla1[[#This Row],[Nombre insumo]]</f>
        <v>#VALUE!</v>
      </c>
    </row>
    <row r="449" spans="2:2" x14ac:dyDescent="0.25">
      <c r="B449" s="2" t="e">
        <f>Tabla1[[#This Row],[Nombre insumo]]</f>
        <v>#VALUE!</v>
      </c>
    </row>
    <row r="450" spans="2:2" x14ac:dyDescent="0.25">
      <c r="B450" s="2" t="e">
        <f>Tabla1[[#This Row],[Nombre insumo]]</f>
        <v>#VALUE!</v>
      </c>
    </row>
    <row r="451" spans="2:2" x14ac:dyDescent="0.25">
      <c r="B451" s="2" t="e">
        <f>Tabla1[[#This Row],[Nombre insumo]]</f>
        <v>#VALUE!</v>
      </c>
    </row>
    <row r="452" spans="2:2" x14ac:dyDescent="0.25">
      <c r="B452" s="2" t="e">
        <f>Tabla1[[#This Row],[Nombre insumo]]</f>
        <v>#VALUE!</v>
      </c>
    </row>
    <row r="453" spans="2:2" x14ac:dyDescent="0.25">
      <c r="B453" s="2" t="e">
        <f>Tabla1[[#This Row],[Nombre insumo]]</f>
        <v>#VALUE!</v>
      </c>
    </row>
    <row r="454" spans="2:2" x14ac:dyDescent="0.25">
      <c r="B454" s="2" t="e">
        <f>Tabla1[[#This Row],[Nombre insumo]]</f>
        <v>#VALUE!</v>
      </c>
    </row>
    <row r="455" spans="2:2" x14ac:dyDescent="0.25">
      <c r="B455" s="2" t="e">
        <f>Tabla1[[#This Row],[Nombre insumo]]</f>
        <v>#VALUE!</v>
      </c>
    </row>
    <row r="456" spans="2:2" x14ac:dyDescent="0.25">
      <c r="B456" s="2" t="e">
        <f>Tabla1[[#This Row],[Nombre insumo]]</f>
        <v>#VALUE!</v>
      </c>
    </row>
    <row r="457" spans="2:2" x14ac:dyDescent="0.25">
      <c r="B457" s="2" t="e">
        <f>Tabla1[[#This Row],[Nombre insumo]]</f>
        <v>#VALUE!</v>
      </c>
    </row>
    <row r="458" spans="2:2" x14ac:dyDescent="0.25">
      <c r="B458" s="2" t="e">
        <f>Tabla1[[#This Row],[Nombre insumo]]</f>
        <v>#VALUE!</v>
      </c>
    </row>
    <row r="459" spans="2:2" x14ac:dyDescent="0.25">
      <c r="B459" s="2" t="e">
        <f>Tabla1[[#This Row],[Nombre insumo]]</f>
        <v>#VALUE!</v>
      </c>
    </row>
    <row r="460" spans="2:2" x14ac:dyDescent="0.25">
      <c r="B460" s="2" t="e">
        <f>Tabla1[[#This Row],[Nombre insumo]]</f>
        <v>#VALUE!</v>
      </c>
    </row>
    <row r="461" spans="2:2" x14ac:dyDescent="0.25">
      <c r="B461" s="2" t="e">
        <f>Tabla1[[#This Row],[Nombre insumo]]</f>
        <v>#VALUE!</v>
      </c>
    </row>
    <row r="462" spans="2:2" x14ac:dyDescent="0.25">
      <c r="B462" s="2" t="e">
        <f>Tabla1[[#This Row],[Nombre insumo]]</f>
        <v>#VALUE!</v>
      </c>
    </row>
    <row r="463" spans="2:2" x14ac:dyDescent="0.25">
      <c r="B463" s="2" t="e">
        <f>Tabla1[[#This Row],[Nombre insumo]]</f>
        <v>#VALUE!</v>
      </c>
    </row>
    <row r="464" spans="2:2" x14ac:dyDescent="0.25">
      <c r="B464" s="2" t="e">
        <f>Tabla1[[#This Row],[Nombre insumo]]</f>
        <v>#VALUE!</v>
      </c>
    </row>
    <row r="465" spans="2:2" x14ac:dyDescent="0.25">
      <c r="B465" s="2" t="e">
        <f>Tabla1[[#This Row],[Nombre insumo]]</f>
        <v>#VALUE!</v>
      </c>
    </row>
    <row r="466" spans="2:2" x14ac:dyDescent="0.25">
      <c r="B466" s="2" t="e">
        <f>Tabla1[[#This Row],[Nombre insumo]]</f>
        <v>#VALUE!</v>
      </c>
    </row>
    <row r="467" spans="2:2" x14ac:dyDescent="0.25">
      <c r="B467" s="2" t="e">
        <f>Tabla1[[#This Row],[Nombre insumo]]</f>
        <v>#VALUE!</v>
      </c>
    </row>
    <row r="468" spans="2:2" x14ac:dyDescent="0.25">
      <c r="B468" s="2" t="e">
        <f>Tabla1[[#This Row],[Nombre insumo]]</f>
        <v>#VALUE!</v>
      </c>
    </row>
    <row r="469" spans="2:2" x14ac:dyDescent="0.25">
      <c r="B469" s="2" t="e">
        <f>Tabla1[[#This Row],[Nombre insumo]]</f>
        <v>#VALUE!</v>
      </c>
    </row>
    <row r="470" spans="2:2" x14ac:dyDescent="0.25">
      <c r="B470" s="2" t="e">
        <f>Tabla1[[#This Row],[Nombre insumo]]</f>
        <v>#VALUE!</v>
      </c>
    </row>
    <row r="471" spans="2:2" x14ac:dyDescent="0.25">
      <c r="B471" s="2" t="e">
        <f>Tabla1[[#This Row],[Nombre insumo]]</f>
        <v>#VALUE!</v>
      </c>
    </row>
    <row r="472" spans="2:2" x14ac:dyDescent="0.25">
      <c r="B472" s="2" t="e">
        <f>Tabla1[[#This Row],[Nombre insumo]]</f>
        <v>#VALUE!</v>
      </c>
    </row>
    <row r="473" spans="2:2" x14ac:dyDescent="0.25">
      <c r="B473" s="2" t="e">
        <f>Tabla1[[#This Row],[Nombre insumo]]</f>
        <v>#VALUE!</v>
      </c>
    </row>
    <row r="474" spans="2:2" x14ac:dyDescent="0.25">
      <c r="B474" s="2" t="e">
        <f>Tabla1[[#This Row],[Nombre insumo]]</f>
        <v>#VALUE!</v>
      </c>
    </row>
    <row r="475" spans="2:2" x14ac:dyDescent="0.25">
      <c r="B475" s="2" t="e">
        <f>Tabla1[[#This Row],[Nombre insumo]]</f>
        <v>#VALUE!</v>
      </c>
    </row>
    <row r="476" spans="2:2" x14ac:dyDescent="0.25">
      <c r="B476" s="2" t="e">
        <f>Tabla1[[#This Row],[Nombre insumo]]</f>
        <v>#VALUE!</v>
      </c>
    </row>
    <row r="477" spans="2:2" x14ac:dyDescent="0.25">
      <c r="B477" s="2" t="e">
        <f>Tabla1[[#This Row],[Nombre insumo]]</f>
        <v>#VALUE!</v>
      </c>
    </row>
    <row r="478" spans="2:2" x14ac:dyDescent="0.25">
      <c r="B478" s="2" t="e">
        <f>Tabla1[[#This Row],[Nombre insumo]]</f>
        <v>#VALUE!</v>
      </c>
    </row>
    <row r="479" spans="2:2" x14ac:dyDescent="0.25">
      <c r="B479" s="2" t="e">
        <f>Tabla1[[#This Row],[Nombre insumo]]</f>
        <v>#VALUE!</v>
      </c>
    </row>
    <row r="480" spans="2:2" x14ac:dyDescent="0.25">
      <c r="B480" s="2" t="e">
        <f>Tabla1[[#This Row],[Nombre insumo]]</f>
        <v>#VALUE!</v>
      </c>
    </row>
    <row r="481" spans="2:2" x14ac:dyDescent="0.25">
      <c r="B481" s="2" t="e">
        <f>Tabla1[[#This Row],[Nombre insumo]]</f>
        <v>#VALUE!</v>
      </c>
    </row>
    <row r="482" spans="2:2" x14ac:dyDescent="0.25">
      <c r="B482" s="2" t="e">
        <f>Tabla1[[#This Row],[Nombre insumo]]</f>
        <v>#VALUE!</v>
      </c>
    </row>
    <row r="483" spans="2:2" x14ac:dyDescent="0.25">
      <c r="B483" s="2" t="e">
        <f>Tabla1[[#This Row],[Nombre insumo]]</f>
        <v>#VALUE!</v>
      </c>
    </row>
    <row r="484" spans="2:2" x14ac:dyDescent="0.25">
      <c r="B484" s="2" t="e">
        <f>Tabla1[[#This Row],[Nombre insumo]]</f>
        <v>#VALUE!</v>
      </c>
    </row>
    <row r="485" spans="2:2" x14ac:dyDescent="0.25">
      <c r="B485" s="2" t="e">
        <f>Tabla1[[#This Row],[Nombre insumo]]</f>
        <v>#VALUE!</v>
      </c>
    </row>
    <row r="486" spans="2:2" x14ac:dyDescent="0.25">
      <c r="B486" s="2" t="e">
        <f>Tabla1[[#This Row],[Nombre insumo]]</f>
        <v>#VALUE!</v>
      </c>
    </row>
    <row r="487" spans="2:2" x14ac:dyDescent="0.25">
      <c r="B487" s="2" t="e">
        <f>Tabla1[[#This Row],[Nombre insumo]]</f>
        <v>#VALUE!</v>
      </c>
    </row>
    <row r="488" spans="2:2" x14ac:dyDescent="0.25">
      <c r="B488" s="2" t="e">
        <f>Tabla1[[#This Row],[Nombre insumo]]</f>
        <v>#VALUE!</v>
      </c>
    </row>
    <row r="489" spans="2:2" x14ac:dyDescent="0.25">
      <c r="B489" s="2" t="e">
        <f>Tabla1[[#This Row],[Nombre insumo]]</f>
        <v>#VALUE!</v>
      </c>
    </row>
    <row r="490" spans="2:2" x14ac:dyDescent="0.25">
      <c r="B490" s="2" t="e">
        <f>Tabla1[[#This Row],[Nombre insumo]]</f>
        <v>#VALUE!</v>
      </c>
    </row>
    <row r="491" spans="2:2" x14ac:dyDescent="0.25">
      <c r="B491" s="2" t="e">
        <f>Tabla1[[#This Row],[Nombre insumo]]</f>
        <v>#VALUE!</v>
      </c>
    </row>
    <row r="492" spans="2:2" x14ac:dyDescent="0.25">
      <c r="B492" s="2" t="e">
        <f>Tabla1[[#This Row],[Nombre insumo]]</f>
        <v>#VALUE!</v>
      </c>
    </row>
    <row r="493" spans="2:2" x14ac:dyDescent="0.25">
      <c r="B493" s="2" t="e">
        <f>Tabla1[[#This Row],[Nombre insumo]]</f>
        <v>#VALUE!</v>
      </c>
    </row>
    <row r="494" spans="2:2" x14ac:dyDescent="0.25">
      <c r="B494" s="2" t="e">
        <f>Tabla1[[#This Row],[Nombre insumo]]</f>
        <v>#VALUE!</v>
      </c>
    </row>
    <row r="495" spans="2:2" x14ac:dyDescent="0.25">
      <c r="B495" s="2" t="e">
        <f>Tabla1[[#This Row],[Nombre insumo]]</f>
        <v>#VALUE!</v>
      </c>
    </row>
    <row r="496" spans="2:2" x14ac:dyDescent="0.25">
      <c r="B496" s="2" t="e">
        <f>Tabla1[[#This Row],[Nombre insumo]]</f>
        <v>#VALUE!</v>
      </c>
    </row>
    <row r="497" spans="2:2" x14ac:dyDescent="0.25">
      <c r="B497" s="2" t="e">
        <f>Tabla1[[#This Row],[Nombre insumo]]</f>
        <v>#VALUE!</v>
      </c>
    </row>
    <row r="498" spans="2:2" x14ac:dyDescent="0.25">
      <c r="B498" s="2" t="e">
        <f>Tabla1[[#This Row],[Nombre insumo]]</f>
        <v>#VALUE!</v>
      </c>
    </row>
    <row r="499" spans="2:2" x14ac:dyDescent="0.25">
      <c r="B499" s="2" t="e">
        <f>Tabla1[[#This Row],[Nombre insumo]]</f>
        <v>#VALUE!</v>
      </c>
    </row>
    <row r="500" spans="2:2" x14ac:dyDescent="0.25">
      <c r="B500" s="2" t="e">
        <f>Tabla1[[#This Row],[Nombre insumo]]</f>
        <v>#VALUE!</v>
      </c>
    </row>
    <row r="501" spans="2:2" x14ac:dyDescent="0.25">
      <c r="B501" s="2" t="e">
        <f>Tabla1[[#This Row],[Nombre insumo]]</f>
        <v>#VALUE!</v>
      </c>
    </row>
    <row r="502" spans="2:2" x14ac:dyDescent="0.25">
      <c r="B502" s="2" t="e">
        <f>Tabla1[[#This Row],[Nombre insumo]]</f>
        <v>#VALUE!</v>
      </c>
    </row>
    <row r="503" spans="2:2" x14ac:dyDescent="0.25">
      <c r="B503" s="2" t="e">
        <f>Tabla1[[#This Row],[Nombre insumo]]</f>
        <v>#VALUE!</v>
      </c>
    </row>
    <row r="504" spans="2:2" x14ac:dyDescent="0.25">
      <c r="B504" s="2" t="e">
        <f>Tabla1[[#This Row],[Nombre insumo]]</f>
        <v>#VALUE!</v>
      </c>
    </row>
    <row r="505" spans="2:2" x14ac:dyDescent="0.25">
      <c r="B505" s="2" t="e">
        <f>Tabla1[[#This Row],[Nombre insumo]]</f>
        <v>#VALUE!</v>
      </c>
    </row>
    <row r="506" spans="2:2" x14ac:dyDescent="0.25">
      <c r="B506" s="2" t="e">
        <f>Tabla1[[#This Row],[Nombre insumo]]</f>
        <v>#VALUE!</v>
      </c>
    </row>
    <row r="507" spans="2:2" x14ac:dyDescent="0.25">
      <c r="B507" s="2" t="e">
        <f>Tabla1[[#This Row],[Nombre insumo]]</f>
        <v>#VALUE!</v>
      </c>
    </row>
    <row r="508" spans="2:2" x14ac:dyDescent="0.25">
      <c r="B508" s="2" t="e">
        <f>Tabla1[[#This Row],[Nombre insumo]]</f>
        <v>#VALUE!</v>
      </c>
    </row>
    <row r="509" spans="2:2" x14ac:dyDescent="0.25">
      <c r="B509" s="2" t="e">
        <f>Tabla1[[#This Row],[Nombre insumo]]</f>
        <v>#VALUE!</v>
      </c>
    </row>
    <row r="510" spans="2:2" x14ac:dyDescent="0.25">
      <c r="B510" s="2" t="e">
        <f>Tabla1[[#This Row],[Nombre insumo]]</f>
        <v>#VALUE!</v>
      </c>
    </row>
    <row r="511" spans="2:2" x14ac:dyDescent="0.25">
      <c r="B511" s="2" t="e">
        <f>Tabla1[[#This Row],[Nombre insumo]]</f>
        <v>#VALUE!</v>
      </c>
    </row>
    <row r="512" spans="2:2" x14ac:dyDescent="0.25">
      <c r="B512" s="2" t="e">
        <f>Tabla1[[#This Row],[Nombre insumo]]</f>
        <v>#VALUE!</v>
      </c>
    </row>
    <row r="513" spans="2:2" x14ac:dyDescent="0.25">
      <c r="B513" s="2" t="e">
        <f>Tabla1[[#This Row],[Nombre insumo]]</f>
        <v>#VALUE!</v>
      </c>
    </row>
    <row r="514" spans="2:2" x14ac:dyDescent="0.25">
      <c r="B514" s="2" t="e">
        <f>Tabla1[[#This Row],[Nombre insumo]]</f>
        <v>#VALUE!</v>
      </c>
    </row>
    <row r="515" spans="2:2" x14ac:dyDescent="0.25">
      <c r="B515" s="2" t="e">
        <f>Tabla1[[#This Row],[Nombre insumo]]</f>
        <v>#VALUE!</v>
      </c>
    </row>
    <row r="516" spans="2:2" x14ac:dyDescent="0.25">
      <c r="B516" s="2" t="e">
        <f>Tabla1[[#This Row],[Nombre insumo]]</f>
        <v>#VALUE!</v>
      </c>
    </row>
    <row r="517" spans="2:2" x14ac:dyDescent="0.25">
      <c r="B517" s="2" t="e">
        <f>Tabla1[[#This Row],[Nombre insumo]]</f>
        <v>#VALUE!</v>
      </c>
    </row>
    <row r="518" spans="2:2" x14ac:dyDescent="0.25">
      <c r="B518" s="2" t="e">
        <f>Tabla1[[#This Row],[Nombre insumo]]</f>
        <v>#VALUE!</v>
      </c>
    </row>
    <row r="519" spans="2:2" x14ac:dyDescent="0.25">
      <c r="B519" s="2" t="e">
        <f>Tabla1[[#This Row],[Nombre insumo]]</f>
        <v>#VALUE!</v>
      </c>
    </row>
    <row r="520" spans="2:2" x14ac:dyDescent="0.25">
      <c r="B520" s="2" t="e">
        <f>Tabla1[[#This Row],[Nombre insumo]]</f>
        <v>#VALUE!</v>
      </c>
    </row>
    <row r="521" spans="2:2" x14ac:dyDescent="0.25">
      <c r="B521" s="2" t="e">
        <f>Tabla1[[#This Row],[Nombre insumo]]</f>
        <v>#VALUE!</v>
      </c>
    </row>
    <row r="522" spans="2:2" x14ac:dyDescent="0.25">
      <c r="B522" s="2" t="e">
        <f>Tabla1[[#This Row],[Nombre insumo]]</f>
        <v>#VALUE!</v>
      </c>
    </row>
    <row r="523" spans="2:2" x14ac:dyDescent="0.25">
      <c r="B523" s="2" t="e">
        <f>Tabla1[[#This Row],[Nombre insumo]]</f>
        <v>#VALUE!</v>
      </c>
    </row>
    <row r="524" spans="2:2" x14ac:dyDescent="0.25">
      <c r="B524" s="2" t="e">
        <f>Tabla1[[#This Row],[Nombre insumo]]</f>
        <v>#VALUE!</v>
      </c>
    </row>
    <row r="525" spans="2:2" x14ac:dyDescent="0.25">
      <c r="B525" s="2" t="e">
        <f>Tabla1[[#This Row],[Nombre insumo]]</f>
        <v>#VALUE!</v>
      </c>
    </row>
    <row r="526" spans="2:2" x14ac:dyDescent="0.25">
      <c r="B526" s="2" t="e">
        <f>Tabla1[[#This Row],[Nombre insumo]]</f>
        <v>#VALUE!</v>
      </c>
    </row>
    <row r="527" spans="2:2" x14ac:dyDescent="0.25">
      <c r="B527" s="2" t="e">
        <f>Tabla1[[#This Row],[Nombre insumo]]</f>
        <v>#VALUE!</v>
      </c>
    </row>
    <row r="528" spans="2:2" x14ac:dyDescent="0.25">
      <c r="B528" s="2" t="e">
        <f>Tabla1[[#This Row],[Nombre insumo]]</f>
        <v>#VALUE!</v>
      </c>
    </row>
    <row r="529" spans="2:2" x14ac:dyDescent="0.25">
      <c r="B529" s="2" t="e">
        <f>Tabla1[[#This Row],[Nombre insumo]]</f>
        <v>#VALUE!</v>
      </c>
    </row>
    <row r="530" spans="2:2" x14ac:dyDescent="0.25">
      <c r="B530" s="2" t="e">
        <f>Tabla1[[#This Row],[Nombre insumo]]</f>
        <v>#VALUE!</v>
      </c>
    </row>
    <row r="531" spans="2:2" x14ac:dyDescent="0.25">
      <c r="B531" s="2" t="e">
        <f>Tabla1[[#This Row],[Nombre insumo]]</f>
        <v>#VALUE!</v>
      </c>
    </row>
    <row r="532" spans="2:2" x14ac:dyDescent="0.25">
      <c r="B532" s="2" t="e">
        <f>Tabla1[[#This Row],[Nombre insumo]]</f>
        <v>#VALUE!</v>
      </c>
    </row>
    <row r="533" spans="2:2" x14ac:dyDescent="0.25">
      <c r="B533" s="2" t="e">
        <f>Tabla1[[#This Row],[Nombre insumo]]</f>
        <v>#VALUE!</v>
      </c>
    </row>
    <row r="534" spans="2:2" x14ac:dyDescent="0.25">
      <c r="B534" s="2" t="e">
        <f>Tabla1[[#This Row],[Nombre insumo]]</f>
        <v>#VALUE!</v>
      </c>
    </row>
    <row r="535" spans="2:2" x14ac:dyDescent="0.25">
      <c r="B535" s="2" t="e">
        <f>Tabla1[[#This Row],[Nombre insumo]]</f>
        <v>#VALUE!</v>
      </c>
    </row>
    <row r="536" spans="2:2" x14ac:dyDescent="0.25">
      <c r="B536" s="2" t="e">
        <f>Tabla1[[#This Row],[Nombre insumo]]</f>
        <v>#VALUE!</v>
      </c>
    </row>
    <row r="537" spans="2:2" x14ac:dyDescent="0.25">
      <c r="B537" s="2" t="e">
        <f>Tabla1[[#This Row],[Nombre insumo]]</f>
        <v>#VALUE!</v>
      </c>
    </row>
    <row r="538" spans="2:2" x14ac:dyDescent="0.25">
      <c r="B538" s="2" t="e">
        <f>Tabla1[[#This Row],[Nombre insumo]]</f>
        <v>#VALUE!</v>
      </c>
    </row>
    <row r="539" spans="2:2" x14ac:dyDescent="0.25">
      <c r="B539" s="2" t="e">
        <f>Tabla1[[#This Row],[Nombre insumo]]</f>
        <v>#VALUE!</v>
      </c>
    </row>
    <row r="540" spans="2:2" x14ac:dyDescent="0.25">
      <c r="B540" s="2" t="e">
        <f>Tabla1[[#This Row],[Nombre insumo]]</f>
        <v>#VALUE!</v>
      </c>
    </row>
    <row r="541" spans="2:2" x14ac:dyDescent="0.25">
      <c r="B541" s="2" t="e">
        <f>Tabla1[[#This Row],[Nombre insumo]]</f>
        <v>#VALUE!</v>
      </c>
    </row>
    <row r="542" spans="2:2" x14ac:dyDescent="0.25">
      <c r="B542" s="2" t="e">
        <f>Tabla1[[#This Row],[Nombre insumo]]</f>
        <v>#VALUE!</v>
      </c>
    </row>
    <row r="543" spans="2:2" x14ac:dyDescent="0.25">
      <c r="B543" s="2" t="e">
        <f>Tabla1[[#This Row],[Nombre insumo]]</f>
        <v>#VALUE!</v>
      </c>
    </row>
    <row r="544" spans="2:2" x14ac:dyDescent="0.25">
      <c r="B544" s="2" t="e">
        <f>Tabla1[[#This Row],[Nombre insumo]]</f>
        <v>#VALUE!</v>
      </c>
    </row>
    <row r="545" spans="2:2" x14ac:dyDescent="0.25">
      <c r="B545" s="2" t="e">
        <f>Tabla1[[#This Row],[Nombre insumo]]</f>
        <v>#VALUE!</v>
      </c>
    </row>
    <row r="546" spans="2:2" x14ac:dyDescent="0.25">
      <c r="B546" s="2" t="e">
        <f>Tabla1[[#This Row],[Nombre insumo]]</f>
        <v>#VALUE!</v>
      </c>
    </row>
    <row r="547" spans="2:2" x14ac:dyDescent="0.25">
      <c r="B547" s="2" t="e">
        <f>Tabla1[[#This Row],[Nombre insumo]]</f>
        <v>#VALUE!</v>
      </c>
    </row>
    <row r="548" spans="2:2" x14ac:dyDescent="0.25">
      <c r="B548" s="2" t="e">
        <f>Tabla1[[#This Row],[Nombre insumo]]</f>
        <v>#VALUE!</v>
      </c>
    </row>
    <row r="549" spans="2:2" x14ac:dyDescent="0.25">
      <c r="B549" s="2" t="e">
        <f>Tabla1[[#This Row],[Nombre insumo]]</f>
        <v>#VALUE!</v>
      </c>
    </row>
    <row r="550" spans="2:2" x14ac:dyDescent="0.25">
      <c r="B550" s="2" t="e">
        <f>Tabla1[[#This Row],[Nombre insumo]]</f>
        <v>#VALUE!</v>
      </c>
    </row>
    <row r="551" spans="2:2" x14ac:dyDescent="0.25">
      <c r="B551" s="2" t="e">
        <f>Tabla1[[#This Row],[Nombre insumo]]</f>
        <v>#VALUE!</v>
      </c>
    </row>
    <row r="552" spans="2:2" x14ac:dyDescent="0.25">
      <c r="B552" s="2" t="e">
        <f>Tabla1[[#This Row],[Nombre insumo]]</f>
        <v>#VALUE!</v>
      </c>
    </row>
    <row r="553" spans="2:2" x14ac:dyDescent="0.25">
      <c r="B553" s="2" t="e">
        <f>Tabla1[[#This Row],[Nombre insumo]]</f>
        <v>#VALUE!</v>
      </c>
    </row>
    <row r="554" spans="2:2" x14ac:dyDescent="0.25">
      <c r="B554" s="2" t="e">
        <f>Tabla1[[#This Row],[Nombre insumo]]</f>
        <v>#VALUE!</v>
      </c>
    </row>
    <row r="555" spans="2:2" x14ac:dyDescent="0.25">
      <c r="B555" s="2" t="e">
        <f>Tabla1[[#This Row],[Nombre insumo]]</f>
        <v>#VALUE!</v>
      </c>
    </row>
    <row r="556" spans="2:2" x14ac:dyDescent="0.25">
      <c r="B556" s="2" t="e">
        <f>Tabla1[[#This Row],[Nombre insumo]]</f>
        <v>#VALUE!</v>
      </c>
    </row>
    <row r="557" spans="2:2" x14ac:dyDescent="0.25">
      <c r="B557" s="2" t="e">
        <f>Tabla1[[#This Row],[Nombre insumo]]</f>
        <v>#VALUE!</v>
      </c>
    </row>
    <row r="558" spans="2:2" x14ac:dyDescent="0.25">
      <c r="B558" s="2" t="e">
        <f>Tabla1[[#This Row],[Nombre insumo]]</f>
        <v>#VALUE!</v>
      </c>
    </row>
    <row r="559" spans="2:2" x14ac:dyDescent="0.25">
      <c r="B559" s="2" t="e">
        <f>Tabla1[[#This Row],[Nombre insumo]]</f>
        <v>#VALUE!</v>
      </c>
    </row>
    <row r="560" spans="2:2" x14ac:dyDescent="0.25">
      <c r="B560" s="2" t="e">
        <f>Tabla1[[#This Row],[Nombre insumo]]</f>
        <v>#VALUE!</v>
      </c>
    </row>
    <row r="561" spans="2:2" x14ac:dyDescent="0.25">
      <c r="B561" s="2" t="e">
        <f>Tabla1[[#This Row],[Nombre insumo]]</f>
        <v>#VALUE!</v>
      </c>
    </row>
    <row r="562" spans="2:2" x14ac:dyDescent="0.25">
      <c r="B562" s="2" t="e">
        <f>Tabla1[[#This Row],[Nombre insumo]]</f>
        <v>#VALUE!</v>
      </c>
    </row>
    <row r="563" spans="2:2" x14ac:dyDescent="0.25">
      <c r="B563" s="2" t="e">
        <f>Tabla1[[#This Row],[Nombre insumo]]</f>
        <v>#VALUE!</v>
      </c>
    </row>
    <row r="564" spans="2:2" x14ac:dyDescent="0.25">
      <c r="B564" s="2" t="e">
        <f>Tabla1[[#This Row],[Nombre insumo]]</f>
        <v>#VALUE!</v>
      </c>
    </row>
    <row r="565" spans="2:2" x14ac:dyDescent="0.25">
      <c r="B565" s="2" t="e">
        <f>Tabla1[[#This Row],[Nombre insumo]]</f>
        <v>#VALUE!</v>
      </c>
    </row>
    <row r="566" spans="2:2" x14ac:dyDescent="0.25">
      <c r="B566" s="2" t="e">
        <f>Tabla1[[#This Row],[Nombre insumo]]</f>
        <v>#VALUE!</v>
      </c>
    </row>
    <row r="567" spans="2:2" x14ac:dyDescent="0.25">
      <c r="B567" s="2" t="e">
        <f>Tabla1[[#This Row],[Nombre insumo]]</f>
        <v>#VALUE!</v>
      </c>
    </row>
    <row r="568" spans="2:2" x14ac:dyDescent="0.25">
      <c r="B568" s="2" t="e">
        <f>Tabla1[[#This Row],[Nombre insumo]]</f>
        <v>#VALUE!</v>
      </c>
    </row>
    <row r="569" spans="2:2" x14ac:dyDescent="0.25">
      <c r="B569" s="2" t="e">
        <f>Tabla1[[#This Row],[Nombre insumo]]</f>
        <v>#VALUE!</v>
      </c>
    </row>
    <row r="570" spans="2:2" x14ac:dyDescent="0.25">
      <c r="B570" s="2" t="e">
        <f>Tabla1[[#This Row],[Nombre insumo]]</f>
        <v>#VALUE!</v>
      </c>
    </row>
    <row r="571" spans="2:2" x14ac:dyDescent="0.25">
      <c r="B571" s="2" t="e">
        <f>Tabla1[[#This Row],[Nombre insumo]]</f>
        <v>#VALUE!</v>
      </c>
    </row>
    <row r="572" spans="2:2" x14ac:dyDescent="0.25">
      <c r="B572" s="2" t="e">
        <f>Tabla1[[#This Row],[Nombre insumo]]</f>
        <v>#VALUE!</v>
      </c>
    </row>
    <row r="573" spans="2:2" x14ac:dyDescent="0.25">
      <c r="B573" s="2" t="e">
        <f>Tabla1[[#This Row],[Nombre insumo]]</f>
        <v>#VALUE!</v>
      </c>
    </row>
    <row r="574" spans="2:2" x14ac:dyDescent="0.25">
      <c r="B574" s="2" t="e">
        <f>Tabla1[[#This Row],[Nombre insumo]]</f>
        <v>#VALUE!</v>
      </c>
    </row>
    <row r="575" spans="2:2" x14ac:dyDescent="0.25">
      <c r="B575" s="2" t="e">
        <f>Tabla1[[#This Row],[Nombre insumo]]</f>
        <v>#VALUE!</v>
      </c>
    </row>
    <row r="576" spans="2:2" x14ac:dyDescent="0.25">
      <c r="B576" s="2" t="e">
        <f>Tabla1[[#This Row],[Nombre insumo]]</f>
        <v>#VALUE!</v>
      </c>
    </row>
    <row r="577" spans="2:2" x14ac:dyDescent="0.25">
      <c r="B577" s="2" t="e">
        <f>Tabla1[[#This Row],[Nombre insumo]]</f>
        <v>#VALUE!</v>
      </c>
    </row>
    <row r="578" spans="2:2" x14ac:dyDescent="0.25">
      <c r="B578" s="2" t="e">
        <f>Tabla1[[#This Row],[Nombre insumo]]</f>
        <v>#VALUE!</v>
      </c>
    </row>
    <row r="579" spans="2:2" x14ac:dyDescent="0.25">
      <c r="B579" s="2" t="e">
        <f>Tabla1[[#This Row],[Nombre insumo]]</f>
        <v>#VALUE!</v>
      </c>
    </row>
    <row r="580" spans="2:2" x14ac:dyDescent="0.25">
      <c r="B580" s="2" t="e">
        <f>Tabla1[[#This Row],[Nombre insumo]]</f>
        <v>#VALUE!</v>
      </c>
    </row>
    <row r="581" spans="2:2" x14ac:dyDescent="0.25">
      <c r="B581" s="2" t="e">
        <f>Tabla1[[#This Row],[Nombre insumo]]</f>
        <v>#VALUE!</v>
      </c>
    </row>
    <row r="582" spans="2:2" x14ac:dyDescent="0.25">
      <c r="B582" s="2" t="e">
        <f>Tabla1[[#This Row],[Nombre insumo]]</f>
        <v>#VALUE!</v>
      </c>
    </row>
    <row r="583" spans="2:2" x14ac:dyDescent="0.25">
      <c r="B583" s="2" t="e">
        <f>Tabla1[[#This Row],[Nombre insumo]]</f>
        <v>#VALUE!</v>
      </c>
    </row>
    <row r="584" spans="2:2" x14ac:dyDescent="0.25">
      <c r="B584" s="2" t="e">
        <f>Tabla1[[#This Row],[Nombre insumo]]</f>
        <v>#VALUE!</v>
      </c>
    </row>
    <row r="585" spans="2:2" x14ac:dyDescent="0.25">
      <c r="B585" s="2" t="e">
        <f>Tabla1[[#This Row],[Nombre insumo]]</f>
        <v>#VALUE!</v>
      </c>
    </row>
    <row r="586" spans="2:2" x14ac:dyDescent="0.25">
      <c r="B586" s="2" t="e">
        <f>Tabla1[[#This Row],[Nombre insumo]]</f>
        <v>#VALUE!</v>
      </c>
    </row>
    <row r="587" spans="2:2" x14ac:dyDescent="0.25">
      <c r="B587" s="2" t="e">
        <f>Tabla1[[#This Row],[Nombre insumo]]</f>
        <v>#VALUE!</v>
      </c>
    </row>
    <row r="588" spans="2:2" x14ac:dyDescent="0.25">
      <c r="B588" s="2" t="e">
        <f>Tabla1[[#This Row],[Nombre insumo]]</f>
        <v>#VALUE!</v>
      </c>
    </row>
    <row r="589" spans="2:2" x14ac:dyDescent="0.25">
      <c r="B589" s="2" t="e">
        <f>Tabla1[[#This Row],[Nombre insumo]]</f>
        <v>#VALUE!</v>
      </c>
    </row>
    <row r="590" spans="2:2" x14ac:dyDescent="0.25">
      <c r="B590" s="2" t="e">
        <f>Tabla1[[#This Row],[Nombre insumo]]</f>
        <v>#VALUE!</v>
      </c>
    </row>
    <row r="591" spans="2:2" x14ac:dyDescent="0.25">
      <c r="B591" s="2" t="e">
        <f>Tabla1[[#This Row],[Nombre insumo]]</f>
        <v>#VALUE!</v>
      </c>
    </row>
    <row r="592" spans="2:2" x14ac:dyDescent="0.25">
      <c r="B592" s="2" t="e">
        <f>Tabla1[[#This Row],[Nombre insumo]]</f>
        <v>#VALUE!</v>
      </c>
    </row>
    <row r="593" spans="2:2" x14ac:dyDescent="0.25">
      <c r="B593" s="2" t="e">
        <f>Tabla1[[#This Row],[Nombre insumo]]</f>
        <v>#VALUE!</v>
      </c>
    </row>
    <row r="594" spans="2:2" x14ac:dyDescent="0.25">
      <c r="B594" s="2" t="e">
        <f>Tabla1[[#This Row],[Nombre insumo]]</f>
        <v>#VALUE!</v>
      </c>
    </row>
    <row r="595" spans="2:2" x14ac:dyDescent="0.25">
      <c r="B595" s="2" t="e">
        <f>Tabla1[[#This Row],[Nombre insumo]]</f>
        <v>#VALUE!</v>
      </c>
    </row>
    <row r="596" spans="2:2" x14ac:dyDescent="0.25">
      <c r="B596" s="2" t="e">
        <f>Tabla1[[#This Row],[Nombre insumo]]</f>
        <v>#VALUE!</v>
      </c>
    </row>
    <row r="597" spans="2:2" x14ac:dyDescent="0.25">
      <c r="B597" s="2" t="e">
        <f>Tabla1[[#This Row],[Nombre insumo]]</f>
        <v>#VALUE!</v>
      </c>
    </row>
    <row r="598" spans="2:2" x14ac:dyDescent="0.25">
      <c r="B598" s="2" t="e">
        <f>Tabla1[[#This Row],[Nombre insumo]]</f>
        <v>#VALUE!</v>
      </c>
    </row>
    <row r="599" spans="2:2" x14ac:dyDescent="0.25">
      <c r="B599" s="2" t="e">
        <f>Tabla1[[#This Row],[Nombre insumo]]</f>
        <v>#VALUE!</v>
      </c>
    </row>
    <row r="600" spans="2:2" x14ac:dyDescent="0.25">
      <c r="B600" s="2" t="e">
        <f>Tabla1[[#This Row],[Nombre insumo]]</f>
        <v>#VALUE!</v>
      </c>
    </row>
    <row r="601" spans="2:2" x14ac:dyDescent="0.25">
      <c r="B601" s="2" t="e">
        <f>Tabla1[[#This Row],[Nombre insumo]]</f>
        <v>#VALUE!</v>
      </c>
    </row>
    <row r="602" spans="2:2" x14ac:dyDescent="0.25">
      <c r="B602" s="2" t="e">
        <f>Tabla1[[#This Row],[Nombre insumo]]</f>
        <v>#VALUE!</v>
      </c>
    </row>
    <row r="603" spans="2:2" x14ac:dyDescent="0.25">
      <c r="B603" s="2" t="e">
        <f>Tabla1[[#This Row],[Nombre insumo]]</f>
        <v>#VALUE!</v>
      </c>
    </row>
    <row r="604" spans="2:2" x14ac:dyDescent="0.25">
      <c r="B604" s="2" t="e">
        <f>Tabla1[[#This Row],[Nombre insumo]]</f>
        <v>#VALUE!</v>
      </c>
    </row>
    <row r="605" spans="2:2" x14ac:dyDescent="0.25">
      <c r="B605" s="2" t="e">
        <f>Tabla1[[#This Row],[Nombre insumo]]</f>
        <v>#VALUE!</v>
      </c>
    </row>
    <row r="606" spans="2:2" x14ac:dyDescent="0.25">
      <c r="B606" s="2" t="e">
        <f>Tabla1[[#This Row],[Nombre insumo]]</f>
        <v>#VALUE!</v>
      </c>
    </row>
    <row r="607" spans="2:2" x14ac:dyDescent="0.25">
      <c r="B607" s="2" t="e">
        <f>Tabla1[[#This Row],[Nombre insumo]]</f>
        <v>#VALUE!</v>
      </c>
    </row>
    <row r="608" spans="2:2" x14ac:dyDescent="0.25">
      <c r="B608" s="2" t="e">
        <f>Tabla1[[#This Row],[Nombre insumo]]</f>
        <v>#VALUE!</v>
      </c>
    </row>
    <row r="609" spans="2:2" x14ac:dyDescent="0.25">
      <c r="B609" s="2" t="e">
        <f>Tabla1[[#This Row],[Nombre insumo]]</f>
        <v>#VALUE!</v>
      </c>
    </row>
    <row r="610" spans="2:2" x14ac:dyDescent="0.25">
      <c r="B610" s="2" t="e">
        <f>Tabla1[[#This Row],[Nombre insumo]]</f>
        <v>#VALUE!</v>
      </c>
    </row>
    <row r="611" spans="2:2" x14ac:dyDescent="0.25">
      <c r="B611" s="2" t="e">
        <f>Tabla1[[#This Row],[Nombre insumo]]</f>
        <v>#VALUE!</v>
      </c>
    </row>
    <row r="612" spans="2:2" x14ac:dyDescent="0.25">
      <c r="B612" s="2" t="e">
        <f>Tabla1[[#This Row],[Nombre insumo]]</f>
        <v>#VALUE!</v>
      </c>
    </row>
    <row r="613" spans="2:2" x14ac:dyDescent="0.25">
      <c r="B613" s="2" t="e">
        <f>Tabla1[[#This Row],[Nombre insumo]]</f>
        <v>#VALUE!</v>
      </c>
    </row>
    <row r="614" spans="2:2" x14ac:dyDescent="0.25">
      <c r="B614" s="2" t="e">
        <f>Tabla1[[#This Row],[Nombre insumo]]</f>
        <v>#VALUE!</v>
      </c>
    </row>
    <row r="615" spans="2:2" x14ac:dyDescent="0.25">
      <c r="B615" s="2" t="e">
        <f>Tabla1[[#This Row],[Nombre insumo]]</f>
        <v>#VALUE!</v>
      </c>
    </row>
    <row r="616" spans="2:2" x14ac:dyDescent="0.25">
      <c r="B616" s="2" t="e">
        <f>Tabla1[[#This Row],[Nombre insumo]]</f>
        <v>#VALUE!</v>
      </c>
    </row>
    <row r="617" spans="2:2" x14ac:dyDescent="0.25">
      <c r="B617" s="2" t="e">
        <f>Tabla1[[#This Row],[Nombre insumo]]</f>
        <v>#VALUE!</v>
      </c>
    </row>
    <row r="618" spans="2:2" x14ac:dyDescent="0.25">
      <c r="B618" s="2" t="e">
        <f>Tabla1[[#This Row],[Nombre insumo]]</f>
        <v>#VALUE!</v>
      </c>
    </row>
    <row r="619" spans="2:2" x14ac:dyDescent="0.25">
      <c r="B619" s="2" t="e">
        <f>Tabla1[[#This Row],[Nombre insumo]]</f>
        <v>#VALUE!</v>
      </c>
    </row>
    <row r="620" spans="2:2" x14ac:dyDescent="0.25">
      <c r="B620" s="2" t="e">
        <f>Tabla1[[#This Row],[Nombre insumo]]</f>
        <v>#VALUE!</v>
      </c>
    </row>
    <row r="621" spans="2:2" x14ac:dyDescent="0.25">
      <c r="B621" s="2" t="e">
        <f>Tabla1[[#This Row],[Nombre insumo]]</f>
        <v>#VALUE!</v>
      </c>
    </row>
    <row r="622" spans="2:2" x14ac:dyDescent="0.25">
      <c r="B622" s="2" t="e">
        <f>Tabla1[[#This Row],[Nombre insumo]]</f>
        <v>#VALUE!</v>
      </c>
    </row>
    <row r="623" spans="2:2" x14ac:dyDescent="0.25">
      <c r="B623" s="2" t="e">
        <f>Tabla1[[#This Row],[Nombre insumo]]</f>
        <v>#VALUE!</v>
      </c>
    </row>
    <row r="624" spans="2:2" x14ac:dyDescent="0.25">
      <c r="B624" s="2" t="e">
        <f>Tabla1[[#This Row],[Nombre insumo]]</f>
        <v>#VALUE!</v>
      </c>
    </row>
    <row r="625" spans="2:2" x14ac:dyDescent="0.25">
      <c r="B625" s="2" t="e">
        <f>Tabla1[[#This Row],[Nombre insumo]]</f>
        <v>#VALUE!</v>
      </c>
    </row>
    <row r="626" spans="2:2" x14ac:dyDescent="0.25">
      <c r="B626" s="2" t="e">
        <f>Tabla1[[#This Row],[Nombre insumo]]</f>
        <v>#VALUE!</v>
      </c>
    </row>
    <row r="627" spans="2:2" x14ac:dyDescent="0.25">
      <c r="B627" s="2" t="e">
        <f>Tabla1[[#This Row],[Nombre insumo]]</f>
        <v>#VALUE!</v>
      </c>
    </row>
    <row r="628" spans="2:2" x14ac:dyDescent="0.25">
      <c r="B628" s="2" t="e">
        <f>Tabla1[[#This Row],[Nombre insumo]]</f>
        <v>#VALUE!</v>
      </c>
    </row>
    <row r="629" spans="2:2" x14ac:dyDescent="0.25">
      <c r="B629" s="2" t="e">
        <f>Tabla1[[#This Row],[Nombre insumo]]</f>
        <v>#VALUE!</v>
      </c>
    </row>
    <row r="630" spans="2:2" x14ac:dyDescent="0.25">
      <c r="B630" s="2" t="e">
        <f>Tabla1[[#This Row],[Nombre insumo]]</f>
        <v>#VALUE!</v>
      </c>
    </row>
    <row r="631" spans="2:2" x14ac:dyDescent="0.25">
      <c r="B631" s="2" t="e">
        <f>Tabla1[[#This Row],[Nombre insumo]]</f>
        <v>#VALUE!</v>
      </c>
    </row>
    <row r="632" spans="2:2" x14ac:dyDescent="0.25">
      <c r="B632" s="2" t="e">
        <f>Tabla1[[#This Row],[Nombre insumo]]</f>
        <v>#VALUE!</v>
      </c>
    </row>
    <row r="633" spans="2:2" x14ac:dyDescent="0.25">
      <c r="B633" s="2" t="e">
        <f>Tabla1[[#This Row],[Nombre insumo]]</f>
        <v>#VALUE!</v>
      </c>
    </row>
    <row r="634" spans="2:2" x14ac:dyDescent="0.25">
      <c r="B634" s="2" t="e">
        <f>Tabla1[[#This Row],[Nombre insumo]]</f>
        <v>#VALUE!</v>
      </c>
    </row>
    <row r="635" spans="2:2" x14ac:dyDescent="0.25">
      <c r="B635" s="2" t="e">
        <f>Tabla1[[#This Row],[Nombre insumo]]</f>
        <v>#VALUE!</v>
      </c>
    </row>
    <row r="636" spans="2:2" x14ac:dyDescent="0.25">
      <c r="B636" s="2" t="e">
        <f>Tabla1[[#This Row],[Nombre insumo]]</f>
        <v>#VALUE!</v>
      </c>
    </row>
    <row r="637" spans="2:2" x14ac:dyDescent="0.25">
      <c r="B637" s="2" t="e">
        <f>Tabla1[[#This Row],[Nombre insumo]]</f>
        <v>#VALUE!</v>
      </c>
    </row>
    <row r="638" spans="2:2" x14ac:dyDescent="0.25">
      <c r="B638" s="2" t="e">
        <f>Tabla1[[#This Row],[Nombre insumo]]</f>
        <v>#VALUE!</v>
      </c>
    </row>
    <row r="639" spans="2:2" x14ac:dyDescent="0.25">
      <c r="B639" s="2" t="e">
        <f>Tabla1[[#This Row],[Nombre insumo]]</f>
        <v>#VALUE!</v>
      </c>
    </row>
    <row r="640" spans="2:2" x14ac:dyDescent="0.25">
      <c r="B640" s="2" t="e">
        <f>Tabla1[[#This Row],[Nombre insumo]]</f>
        <v>#VALUE!</v>
      </c>
    </row>
    <row r="641" spans="2:2" x14ac:dyDescent="0.25">
      <c r="B641" s="2" t="e">
        <f>Tabla1[[#This Row],[Nombre insumo]]</f>
        <v>#VALUE!</v>
      </c>
    </row>
    <row r="642" spans="2:2" x14ac:dyDescent="0.25">
      <c r="B642" s="2" t="e">
        <f>Tabla1[[#This Row],[Nombre insumo]]</f>
        <v>#VALUE!</v>
      </c>
    </row>
    <row r="643" spans="2:2" x14ac:dyDescent="0.25">
      <c r="B643" s="2" t="e">
        <f>Tabla1[[#This Row],[Nombre insumo]]</f>
        <v>#VALUE!</v>
      </c>
    </row>
    <row r="644" spans="2:2" x14ac:dyDescent="0.25">
      <c r="B644" s="2" t="e">
        <f>Tabla1[[#This Row],[Nombre insumo]]</f>
        <v>#VALUE!</v>
      </c>
    </row>
    <row r="645" spans="2:2" x14ac:dyDescent="0.25">
      <c r="B645" s="2" t="e">
        <f>Tabla1[[#This Row],[Nombre insumo]]</f>
        <v>#VALUE!</v>
      </c>
    </row>
    <row r="646" spans="2:2" x14ac:dyDescent="0.25">
      <c r="B646" s="2" t="e">
        <f>Tabla1[[#This Row],[Nombre insumo]]</f>
        <v>#VALUE!</v>
      </c>
    </row>
    <row r="647" spans="2:2" x14ac:dyDescent="0.25">
      <c r="B647" s="2" t="e">
        <f>Tabla1[[#This Row],[Nombre insumo]]</f>
        <v>#VALUE!</v>
      </c>
    </row>
    <row r="648" spans="2:2" x14ac:dyDescent="0.25">
      <c r="B648" s="2" t="e">
        <f>Tabla1[[#This Row],[Nombre insumo]]</f>
        <v>#VALUE!</v>
      </c>
    </row>
    <row r="649" spans="2:2" x14ac:dyDescent="0.25">
      <c r="B649" s="2" t="e">
        <f>Tabla1[[#This Row],[Nombre insumo]]</f>
        <v>#VALUE!</v>
      </c>
    </row>
    <row r="650" spans="2:2" x14ac:dyDescent="0.25">
      <c r="B650" s="2" t="e">
        <f>Tabla1[[#This Row],[Nombre insumo]]</f>
        <v>#VALUE!</v>
      </c>
    </row>
    <row r="651" spans="2:2" x14ac:dyDescent="0.25">
      <c r="B651" s="2" t="e">
        <f>Tabla1[[#This Row],[Nombre insumo]]</f>
        <v>#VALUE!</v>
      </c>
    </row>
    <row r="652" spans="2:2" x14ac:dyDescent="0.25">
      <c r="B652" s="2" t="e">
        <f>Tabla1[[#This Row],[Nombre insumo]]</f>
        <v>#VALUE!</v>
      </c>
    </row>
    <row r="653" spans="2:2" x14ac:dyDescent="0.25">
      <c r="B653" s="2" t="e">
        <f>Tabla1[[#This Row],[Nombre insumo]]</f>
        <v>#VALUE!</v>
      </c>
    </row>
    <row r="654" spans="2:2" x14ac:dyDescent="0.25">
      <c r="B654" s="2" t="e">
        <f>Tabla1[[#This Row],[Nombre insumo]]</f>
        <v>#VALUE!</v>
      </c>
    </row>
    <row r="655" spans="2:2" x14ac:dyDescent="0.25">
      <c r="B655" s="2" t="e">
        <f>Tabla1[[#This Row],[Nombre insumo]]</f>
        <v>#VALUE!</v>
      </c>
    </row>
    <row r="656" spans="2:2" x14ac:dyDescent="0.25">
      <c r="B656" s="2" t="e">
        <f>Tabla1[[#This Row],[Nombre insumo]]</f>
        <v>#VALUE!</v>
      </c>
    </row>
    <row r="657" spans="2:2" x14ac:dyDescent="0.25">
      <c r="B657" s="2" t="e">
        <f>Tabla1[[#This Row],[Nombre insumo]]</f>
        <v>#VALUE!</v>
      </c>
    </row>
    <row r="658" spans="2:2" x14ac:dyDescent="0.25">
      <c r="B658" s="2" t="e">
        <f>Tabla1[[#This Row],[Nombre insumo]]</f>
        <v>#VALUE!</v>
      </c>
    </row>
    <row r="659" spans="2:2" x14ac:dyDescent="0.25">
      <c r="B659" s="2" t="e">
        <f>Tabla1[[#This Row],[Nombre insumo]]</f>
        <v>#VALUE!</v>
      </c>
    </row>
    <row r="660" spans="2:2" x14ac:dyDescent="0.25">
      <c r="B660" s="2" t="e">
        <f>Tabla1[[#This Row],[Nombre insumo]]</f>
        <v>#VALUE!</v>
      </c>
    </row>
    <row r="661" spans="2:2" x14ac:dyDescent="0.25">
      <c r="B661" s="2" t="e">
        <f>Tabla1[[#This Row],[Nombre insumo]]</f>
        <v>#VALUE!</v>
      </c>
    </row>
    <row r="662" spans="2:2" x14ac:dyDescent="0.25">
      <c r="B662" s="2" t="e">
        <f>Tabla1[[#This Row],[Nombre insumo]]</f>
        <v>#VALUE!</v>
      </c>
    </row>
    <row r="663" spans="2:2" x14ac:dyDescent="0.25">
      <c r="B663" s="2" t="e">
        <f>Tabla1[[#This Row],[Nombre insumo]]</f>
        <v>#VALUE!</v>
      </c>
    </row>
    <row r="664" spans="2:2" x14ac:dyDescent="0.25">
      <c r="B664" s="2" t="e">
        <f>Tabla1[[#This Row],[Nombre insumo]]</f>
        <v>#VALUE!</v>
      </c>
    </row>
    <row r="665" spans="2:2" x14ac:dyDescent="0.25">
      <c r="B665" s="2" t="e">
        <f>Tabla1[[#This Row],[Nombre insumo]]</f>
        <v>#VALUE!</v>
      </c>
    </row>
    <row r="666" spans="2:2" x14ac:dyDescent="0.25">
      <c r="B666" s="2" t="e">
        <f>Tabla1[[#This Row],[Nombre insumo]]</f>
        <v>#VALUE!</v>
      </c>
    </row>
    <row r="667" spans="2:2" x14ac:dyDescent="0.25">
      <c r="B667" s="2" t="e">
        <f>Tabla1[[#This Row],[Nombre insumo]]</f>
        <v>#VALUE!</v>
      </c>
    </row>
    <row r="668" spans="2:2" x14ac:dyDescent="0.25">
      <c r="B668" s="2" t="e">
        <f>Tabla1[[#This Row],[Nombre insumo]]</f>
        <v>#VALUE!</v>
      </c>
    </row>
    <row r="669" spans="2:2" x14ac:dyDescent="0.25">
      <c r="B669" s="2" t="e">
        <f>Tabla1[[#This Row],[Nombre insumo]]</f>
        <v>#VALUE!</v>
      </c>
    </row>
    <row r="670" spans="2:2" x14ac:dyDescent="0.25">
      <c r="B670" s="2" t="e">
        <f>Tabla1[[#This Row],[Nombre insumo]]</f>
        <v>#VALUE!</v>
      </c>
    </row>
    <row r="671" spans="2:2" x14ac:dyDescent="0.25">
      <c r="B671" s="2" t="e">
        <f>Tabla1[[#This Row],[Nombre insumo]]</f>
        <v>#VALUE!</v>
      </c>
    </row>
    <row r="672" spans="2:2" x14ac:dyDescent="0.25">
      <c r="B672" s="2" t="e">
        <f>Tabla1[[#This Row],[Nombre insumo]]</f>
        <v>#VALUE!</v>
      </c>
    </row>
    <row r="673" spans="2:2" x14ac:dyDescent="0.25">
      <c r="B673" s="2" t="e">
        <f>Tabla1[[#This Row],[Nombre insumo]]</f>
        <v>#VALUE!</v>
      </c>
    </row>
    <row r="674" spans="2:2" x14ac:dyDescent="0.25">
      <c r="B674" s="2" t="e">
        <f>Tabla1[[#This Row],[Nombre insumo]]</f>
        <v>#VALUE!</v>
      </c>
    </row>
    <row r="675" spans="2:2" x14ac:dyDescent="0.25">
      <c r="B675" s="2" t="e">
        <f>Tabla1[[#This Row],[Nombre insumo]]</f>
        <v>#VALUE!</v>
      </c>
    </row>
    <row r="676" spans="2:2" x14ac:dyDescent="0.25">
      <c r="B676" s="2" t="e">
        <f>Tabla1[[#This Row],[Nombre insumo]]</f>
        <v>#VALUE!</v>
      </c>
    </row>
    <row r="677" spans="2:2" x14ac:dyDescent="0.25">
      <c r="B677" s="2" t="e">
        <f>Tabla1[[#This Row],[Nombre insumo]]</f>
        <v>#VALUE!</v>
      </c>
    </row>
    <row r="678" spans="2:2" x14ac:dyDescent="0.25">
      <c r="B678" s="2" t="e">
        <f>Tabla1[[#This Row],[Nombre insumo]]</f>
        <v>#VALUE!</v>
      </c>
    </row>
    <row r="679" spans="2:2" x14ac:dyDescent="0.25">
      <c r="B679" s="2" t="e">
        <f>Tabla1[[#This Row],[Nombre insumo]]</f>
        <v>#VALUE!</v>
      </c>
    </row>
    <row r="680" spans="2:2" x14ac:dyDescent="0.25">
      <c r="B680" s="2" t="e">
        <f>Tabla1[[#This Row],[Nombre insumo]]</f>
        <v>#VALUE!</v>
      </c>
    </row>
    <row r="681" spans="2:2" x14ac:dyDescent="0.25">
      <c r="B681" s="2" t="e">
        <f>Tabla1[[#This Row],[Nombre insumo]]</f>
        <v>#VALUE!</v>
      </c>
    </row>
    <row r="682" spans="2:2" x14ac:dyDescent="0.25">
      <c r="B682" s="2" t="e">
        <f>Tabla1[[#This Row],[Nombre insumo]]</f>
        <v>#VALUE!</v>
      </c>
    </row>
    <row r="683" spans="2:2" x14ac:dyDescent="0.25">
      <c r="B683" s="2" t="e">
        <f>Tabla1[[#This Row],[Nombre insumo]]</f>
        <v>#VALUE!</v>
      </c>
    </row>
    <row r="684" spans="2:2" x14ac:dyDescent="0.25">
      <c r="B684" s="2" t="e">
        <f>Tabla1[[#This Row],[Nombre insumo]]</f>
        <v>#VALUE!</v>
      </c>
    </row>
    <row r="685" spans="2:2" x14ac:dyDescent="0.25">
      <c r="B685" s="2" t="e">
        <f>Tabla1[[#This Row],[Nombre insumo]]</f>
        <v>#VALUE!</v>
      </c>
    </row>
    <row r="686" spans="2:2" x14ac:dyDescent="0.25">
      <c r="B686" s="2" t="e">
        <f>Tabla1[[#This Row],[Nombre insumo]]</f>
        <v>#VALUE!</v>
      </c>
    </row>
    <row r="687" spans="2:2" x14ac:dyDescent="0.25">
      <c r="B687" s="2" t="e">
        <f>Tabla1[[#This Row],[Nombre insumo]]</f>
        <v>#VALUE!</v>
      </c>
    </row>
    <row r="688" spans="2:2" x14ac:dyDescent="0.25">
      <c r="B688" s="2" t="e">
        <f>Tabla1[[#This Row],[Nombre insumo]]</f>
        <v>#VALUE!</v>
      </c>
    </row>
    <row r="689" spans="2:2" x14ac:dyDescent="0.25">
      <c r="B689" s="2" t="e">
        <f>Tabla1[[#This Row],[Nombre insumo]]</f>
        <v>#VALUE!</v>
      </c>
    </row>
    <row r="690" spans="2:2" x14ac:dyDescent="0.25">
      <c r="B690" s="2" t="e">
        <f>Tabla1[[#This Row],[Nombre insumo]]</f>
        <v>#VALUE!</v>
      </c>
    </row>
    <row r="691" spans="2:2" x14ac:dyDescent="0.25">
      <c r="B691" s="2" t="e">
        <f>Tabla1[[#This Row],[Nombre insumo]]</f>
        <v>#VALUE!</v>
      </c>
    </row>
    <row r="692" spans="2:2" x14ac:dyDescent="0.25">
      <c r="B692" s="2" t="e">
        <f>Tabla1[[#This Row],[Nombre insumo]]</f>
        <v>#VALUE!</v>
      </c>
    </row>
    <row r="693" spans="2:2" x14ac:dyDescent="0.25">
      <c r="B693" s="2" t="e">
        <f>Tabla1[[#This Row],[Nombre insumo]]</f>
        <v>#VALUE!</v>
      </c>
    </row>
    <row r="694" spans="2:2" x14ac:dyDescent="0.25">
      <c r="B694" s="2" t="e">
        <f>Tabla1[[#This Row],[Nombre insumo]]</f>
        <v>#VALUE!</v>
      </c>
    </row>
    <row r="695" spans="2:2" x14ac:dyDescent="0.25">
      <c r="B695" s="2" t="e">
        <f>Tabla1[[#This Row],[Nombre insumo]]</f>
        <v>#VALUE!</v>
      </c>
    </row>
    <row r="696" spans="2:2" x14ac:dyDescent="0.25">
      <c r="B696" s="2" t="e">
        <f>Tabla1[[#This Row],[Nombre insumo]]</f>
        <v>#VALUE!</v>
      </c>
    </row>
    <row r="697" spans="2:2" x14ac:dyDescent="0.25">
      <c r="B697" s="2" t="e">
        <f>Tabla1[[#This Row],[Nombre insumo]]</f>
        <v>#VALUE!</v>
      </c>
    </row>
    <row r="698" spans="2:2" x14ac:dyDescent="0.25">
      <c r="B698" s="2" t="e">
        <f>Tabla1[[#This Row],[Nombre insumo]]</f>
        <v>#VALUE!</v>
      </c>
    </row>
    <row r="699" spans="2:2" x14ac:dyDescent="0.25">
      <c r="B699" s="2" t="e">
        <f>Tabla1[[#This Row],[Nombre insumo]]</f>
        <v>#VALUE!</v>
      </c>
    </row>
    <row r="700" spans="2:2" x14ac:dyDescent="0.25">
      <c r="B700" s="2" t="e">
        <f>Tabla1[[#This Row],[Nombre insumo]]</f>
        <v>#VALUE!</v>
      </c>
    </row>
    <row r="701" spans="2:2" x14ac:dyDescent="0.25">
      <c r="B701" s="2" t="e">
        <f>Tabla1[[#This Row],[Nombre insumo]]</f>
        <v>#VALUE!</v>
      </c>
    </row>
    <row r="702" spans="2:2" x14ac:dyDescent="0.25">
      <c r="B702" s="2" t="e">
        <f>Tabla1[[#This Row],[Nombre insumo]]</f>
        <v>#VALUE!</v>
      </c>
    </row>
    <row r="703" spans="2:2" x14ac:dyDescent="0.25">
      <c r="B703" s="2" t="e">
        <f>Tabla1[[#This Row],[Nombre insumo]]</f>
        <v>#VALUE!</v>
      </c>
    </row>
    <row r="704" spans="2:2" x14ac:dyDescent="0.25">
      <c r="B704" s="2" t="e">
        <f>Tabla1[[#This Row],[Nombre insumo]]</f>
        <v>#VALUE!</v>
      </c>
    </row>
    <row r="705" spans="2:2" x14ac:dyDescent="0.25">
      <c r="B705" s="2" t="e">
        <f>Tabla1[[#This Row],[Nombre insumo]]</f>
        <v>#VALUE!</v>
      </c>
    </row>
    <row r="706" spans="2:2" x14ac:dyDescent="0.25">
      <c r="B706" s="2" t="e">
        <f>Tabla1[[#This Row],[Nombre insumo]]</f>
        <v>#VALUE!</v>
      </c>
    </row>
    <row r="707" spans="2:2" x14ac:dyDescent="0.25">
      <c r="B707" s="2" t="e">
        <f>Tabla1[[#This Row],[Nombre insumo]]</f>
        <v>#VALUE!</v>
      </c>
    </row>
    <row r="708" spans="2:2" x14ac:dyDescent="0.25">
      <c r="B708" s="2" t="e">
        <f>Tabla1[[#This Row],[Nombre insumo]]</f>
        <v>#VALUE!</v>
      </c>
    </row>
    <row r="709" spans="2:2" x14ac:dyDescent="0.25">
      <c r="B709" s="2" t="e">
        <f>Tabla1[[#This Row],[Nombre insumo]]</f>
        <v>#VALUE!</v>
      </c>
    </row>
    <row r="710" spans="2:2" x14ac:dyDescent="0.25">
      <c r="B710" s="2" t="e">
        <f>Tabla1[[#This Row],[Nombre insumo]]</f>
        <v>#VALUE!</v>
      </c>
    </row>
    <row r="711" spans="2:2" x14ac:dyDescent="0.25">
      <c r="B711" s="2" t="e">
        <f>Tabla1[[#This Row],[Nombre insumo]]</f>
        <v>#VALUE!</v>
      </c>
    </row>
    <row r="712" spans="2:2" x14ac:dyDescent="0.25">
      <c r="B712" s="2" t="e">
        <f>Tabla1[[#This Row],[Nombre insumo]]</f>
        <v>#VALUE!</v>
      </c>
    </row>
    <row r="713" spans="2:2" x14ac:dyDescent="0.25">
      <c r="B713" s="2" t="e">
        <f>Tabla1[[#This Row],[Nombre insumo]]</f>
        <v>#VALUE!</v>
      </c>
    </row>
    <row r="714" spans="2:2" x14ac:dyDescent="0.25">
      <c r="B714" s="2" t="e">
        <f>Tabla1[[#This Row],[Nombre insumo]]</f>
        <v>#VALUE!</v>
      </c>
    </row>
    <row r="715" spans="2:2" x14ac:dyDescent="0.25">
      <c r="B715" s="2" t="e">
        <f>Tabla1[[#This Row],[Nombre insumo]]</f>
        <v>#VALUE!</v>
      </c>
    </row>
    <row r="716" spans="2:2" x14ac:dyDescent="0.25">
      <c r="B716" s="2" t="e">
        <f>Tabla1[[#This Row],[Nombre insumo]]</f>
        <v>#VALUE!</v>
      </c>
    </row>
    <row r="717" spans="2:2" x14ac:dyDescent="0.25">
      <c r="B717" s="2" t="e">
        <f>Tabla1[[#This Row],[Nombre insumo]]</f>
        <v>#VALUE!</v>
      </c>
    </row>
    <row r="718" spans="2:2" x14ac:dyDescent="0.25">
      <c r="B718" s="2" t="e">
        <f>Tabla1[[#This Row],[Nombre insumo]]</f>
        <v>#VALUE!</v>
      </c>
    </row>
    <row r="719" spans="2:2" x14ac:dyDescent="0.25">
      <c r="B719" s="2" t="e">
        <f>Tabla1[[#This Row],[Nombre insumo]]</f>
        <v>#VALUE!</v>
      </c>
    </row>
    <row r="720" spans="2:2" x14ac:dyDescent="0.25">
      <c r="B720" s="2" t="e">
        <f>Tabla1[[#This Row],[Nombre insumo]]</f>
        <v>#VALUE!</v>
      </c>
    </row>
    <row r="721" spans="2:2" x14ac:dyDescent="0.25">
      <c r="B721" s="2" t="e">
        <f>Tabla1[[#This Row],[Nombre insumo]]</f>
        <v>#VALUE!</v>
      </c>
    </row>
    <row r="722" spans="2:2" x14ac:dyDescent="0.25">
      <c r="B722" s="2" t="e">
        <f>Tabla1[[#This Row],[Nombre insumo]]</f>
        <v>#VALUE!</v>
      </c>
    </row>
    <row r="723" spans="2:2" x14ac:dyDescent="0.25">
      <c r="B723" s="2" t="e">
        <f>Tabla1[[#This Row],[Nombre insumo]]</f>
        <v>#VALUE!</v>
      </c>
    </row>
    <row r="724" spans="2:2" x14ac:dyDescent="0.25">
      <c r="B724" s="2" t="e">
        <f>Tabla1[[#This Row],[Nombre insumo]]</f>
        <v>#VALUE!</v>
      </c>
    </row>
    <row r="725" spans="2:2" x14ac:dyDescent="0.25">
      <c r="B725" s="2" t="e">
        <f>Tabla1[[#This Row],[Nombre insumo]]</f>
        <v>#VALUE!</v>
      </c>
    </row>
    <row r="726" spans="2:2" x14ac:dyDescent="0.25">
      <c r="B726" s="2" t="e">
        <f>Tabla1[[#This Row],[Nombre insumo]]</f>
        <v>#VALUE!</v>
      </c>
    </row>
    <row r="727" spans="2:2" x14ac:dyDescent="0.25">
      <c r="B727" s="2" t="e">
        <f>Tabla1[[#This Row],[Nombre insumo]]</f>
        <v>#VALUE!</v>
      </c>
    </row>
    <row r="728" spans="2:2" x14ac:dyDescent="0.25">
      <c r="B728" s="2" t="e">
        <f>Tabla1[[#This Row],[Nombre insumo]]</f>
        <v>#VALUE!</v>
      </c>
    </row>
    <row r="729" spans="2:2" x14ac:dyDescent="0.25">
      <c r="B729" s="2" t="e">
        <f>Tabla1[[#This Row],[Nombre insumo]]</f>
        <v>#VALUE!</v>
      </c>
    </row>
    <row r="730" spans="2:2" x14ac:dyDescent="0.25">
      <c r="B730" s="2" t="e">
        <f>Tabla1[[#This Row],[Nombre insumo]]</f>
        <v>#VALUE!</v>
      </c>
    </row>
    <row r="731" spans="2:2" x14ac:dyDescent="0.25">
      <c r="B731" s="2" t="e">
        <f>Tabla1[[#This Row],[Nombre insumo]]</f>
        <v>#VALUE!</v>
      </c>
    </row>
    <row r="732" spans="2:2" x14ac:dyDescent="0.25">
      <c r="B732" s="2" t="e">
        <f>Tabla1[[#This Row],[Nombre insumo]]</f>
        <v>#VALUE!</v>
      </c>
    </row>
    <row r="733" spans="2:2" x14ac:dyDescent="0.25">
      <c r="B733" s="2" t="e">
        <f>Tabla1[[#This Row],[Nombre insumo]]</f>
        <v>#VALUE!</v>
      </c>
    </row>
    <row r="734" spans="2:2" x14ac:dyDescent="0.25">
      <c r="B734" s="2" t="e">
        <f>Tabla1[[#This Row],[Nombre insumo]]</f>
        <v>#VALUE!</v>
      </c>
    </row>
    <row r="735" spans="2:2" x14ac:dyDescent="0.25">
      <c r="B735" s="2" t="e">
        <f>Tabla1[[#This Row],[Nombre insumo]]</f>
        <v>#VALUE!</v>
      </c>
    </row>
    <row r="736" spans="2:2" x14ac:dyDescent="0.25">
      <c r="B736" s="2" t="e">
        <f>Tabla1[[#This Row],[Nombre insumo]]</f>
        <v>#VALUE!</v>
      </c>
    </row>
    <row r="737" spans="2:2" x14ac:dyDescent="0.25">
      <c r="B737" s="2" t="e">
        <f>Tabla1[[#This Row],[Nombre insumo]]</f>
        <v>#VALUE!</v>
      </c>
    </row>
    <row r="738" spans="2:2" x14ac:dyDescent="0.25">
      <c r="B738" s="2" t="e">
        <f>Tabla1[[#This Row],[Nombre insumo]]</f>
        <v>#VALUE!</v>
      </c>
    </row>
    <row r="739" spans="2:2" x14ac:dyDescent="0.25">
      <c r="B739" s="2" t="e">
        <f>Tabla1[[#This Row],[Nombre insumo]]</f>
        <v>#VALUE!</v>
      </c>
    </row>
    <row r="740" spans="2:2" x14ac:dyDescent="0.25">
      <c r="B740" s="2" t="e">
        <f>Tabla1[[#This Row],[Nombre insumo]]</f>
        <v>#VALUE!</v>
      </c>
    </row>
    <row r="741" spans="2:2" x14ac:dyDescent="0.25">
      <c r="B741" s="2" t="e">
        <f>Tabla1[[#This Row],[Nombre insumo]]</f>
        <v>#VALUE!</v>
      </c>
    </row>
    <row r="742" spans="2:2" x14ac:dyDescent="0.25">
      <c r="B742" s="2" t="e">
        <f>Tabla1[[#This Row],[Nombre insumo]]</f>
        <v>#VALUE!</v>
      </c>
    </row>
    <row r="743" spans="2:2" x14ac:dyDescent="0.25">
      <c r="B743" s="2" t="e">
        <f>Tabla1[[#This Row],[Nombre insumo]]</f>
        <v>#VALUE!</v>
      </c>
    </row>
    <row r="744" spans="2:2" x14ac:dyDescent="0.25">
      <c r="B744" s="2" t="e">
        <f>Tabla1[[#This Row],[Nombre insumo]]</f>
        <v>#VALUE!</v>
      </c>
    </row>
    <row r="745" spans="2:2" x14ac:dyDescent="0.25">
      <c r="B745" s="2" t="e">
        <f>Tabla1[[#This Row],[Nombre insumo]]</f>
        <v>#VALUE!</v>
      </c>
    </row>
    <row r="746" spans="2:2" x14ac:dyDescent="0.25">
      <c r="B746" s="2" t="e">
        <f>Tabla1[[#This Row],[Nombre insumo]]</f>
        <v>#VALUE!</v>
      </c>
    </row>
    <row r="747" spans="2:2" x14ac:dyDescent="0.25">
      <c r="B747" s="2" t="e">
        <f>Tabla1[[#This Row],[Nombre insumo]]</f>
        <v>#VALUE!</v>
      </c>
    </row>
    <row r="748" spans="2:2" x14ac:dyDescent="0.25">
      <c r="B748" s="2" t="e">
        <f>Tabla1[[#This Row],[Nombre insumo]]</f>
        <v>#VALUE!</v>
      </c>
    </row>
    <row r="749" spans="2:2" x14ac:dyDescent="0.25">
      <c r="B749" s="2" t="e">
        <f>Tabla1[[#This Row],[Nombre insumo]]</f>
        <v>#VALUE!</v>
      </c>
    </row>
    <row r="750" spans="2:2" x14ac:dyDescent="0.25">
      <c r="B750" s="2" t="e">
        <f>Tabla1[[#This Row],[Nombre insumo]]</f>
        <v>#VALUE!</v>
      </c>
    </row>
    <row r="751" spans="2:2" x14ac:dyDescent="0.25">
      <c r="B751" s="2" t="e">
        <f>Tabla1[[#This Row],[Nombre insumo]]</f>
        <v>#VALUE!</v>
      </c>
    </row>
    <row r="752" spans="2:2" x14ac:dyDescent="0.25">
      <c r="B752" s="2" t="e">
        <f>Tabla1[[#This Row],[Nombre insumo]]</f>
        <v>#VALUE!</v>
      </c>
    </row>
    <row r="753" spans="2:2" x14ac:dyDescent="0.25">
      <c r="B753" s="2" t="e">
        <f>Tabla1[[#This Row],[Nombre insumo]]</f>
        <v>#VALUE!</v>
      </c>
    </row>
    <row r="754" spans="2:2" x14ac:dyDescent="0.25">
      <c r="B754" s="2" t="e">
        <f>Tabla1[[#This Row],[Nombre insumo]]</f>
        <v>#VALUE!</v>
      </c>
    </row>
    <row r="755" spans="2:2" x14ac:dyDescent="0.25">
      <c r="B755" s="2" t="e">
        <f>Tabla1[[#This Row],[Nombre insumo]]</f>
        <v>#VALUE!</v>
      </c>
    </row>
    <row r="756" spans="2:2" x14ac:dyDescent="0.25">
      <c r="B756" s="2" t="e">
        <f>Tabla1[[#This Row],[Nombre insumo]]</f>
        <v>#VALUE!</v>
      </c>
    </row>
    <row r="757" spans="2:2" x14ac:dyDescent="0.25">
      <c r="B757" s="2" t="e">
        <f>Tabla1[[#This Row],[Nombre insumo]]</f>
        <v>#VALUE!</v>
      </c>
    </row>
    <row r="758" spans="2:2" x14ac:dyDescent="0.25">
      <c r="B758" s="2" t="e">
        <f>Tabla1[[#This Row],[Nombre insumo]]</f>
        <v>#VALUE!</v>
      </c>
    </row>
    <row r="759" spans="2:2" x14ac:dyDescent="0.25">
      <c r="B759" s="2" t="e">
        <f>Tabla1[[#This Row],[Nombre insumo]]</f>
        <v>#VALUE!</v>
      </c>
    </row>
    <row r="760" spans="2:2" x14ac:dyDescent="0.25">
      <c r="B760" s="2" t="e">
        <f>Tabla1[[#This Row],[Nombre insumo]]</f>
        <v>#VALUE!</v>
      </c>
    </row>
    <row r="761" spans="2:2" x14ac:dyDescent="0.25">
      <c r="B761" s="2" t="e">
        <f>Tabla1[[#This Row],[Nombre insumo]]</f>
        <v>#VALUE!</v>
      </c>
    </row>
    <row r="762" spans="2:2" x14ac:dyDescent="0.25">
      <c r="B762" s="2" t="e">
        <f>Tabla1[[#This Row],[Nombre insumo]]</f>
        <v>#VALUE!</v>
      </c>
    </row>
    <row r="763" spans="2:2" x14ac:dyDescent="0.25">
      <c r="B763" s="2" t="e">
        <f>Tabla1[[#This Row],[Nombre insumo]]</f>
        <v>#VALUE!</v>
      </c>
    </row>
    <row r="764" spans="2:2" x14ac:dyDescent="0.25">
      <c r="B764" s="2" t="e">
        <f>Tabla1[[#This Row],[Nombre insumo]]</f>
        <v>#VALUE!</v>
      </c>
    </row>
    <row r="765" spans="2:2" x14ac:dyDescent="0.25">
      <c r="B765" s="2" t="e">
        <f>Tabla1[[#This Row],[Nombre insumo]]</f>
        <v>#VALUE!</v>
      </c>
    </row>
    <row r="766" spans="2:2" x14ac:dyDescent="0.25">
      <c r="B766" s="2" t="e">
        <f>Tabla1[[#This Row],[Nombre insumo]]</f>
        <v>#VALUE!</v>
      </c>
    </row>
    <row r="767" spans="2:2" x14ac:dyDescent="0.25">
      <c r="B767" s="2" t="e">
        <f>Tabla1[[#This Row],[Nombre insumo]]</f>
        <v>#VALUE!</v>
      </c>
    </row>
    <row r="768" spans="2:2" x14ac:dyDescent="0.25">
      <c r="B768" s="2" t="e">
        <f>Tabla1[[#This Row],[Nombre insumo]]</f>
        <v>#VALUE!</v>
      </c>
    </row>
    <row r="769" spans="2:2" x14ac:dyDescent="0.25">
      <c r="B769" s="2" t="e">
        <f>Tabla1[[#This Row],[Nombre insumo]]</f>
        <v>#VALUE!</v>
      </c>
    </row>
    <row r="770" spans="2:2" x14ac:dyDescent="0.25">
      <c r="B770" s="2" t="e">
        <f>Tabla1[[#This Row],[Nombre insumo]]</f>
        <v>#VALUE!</v>
      </c>
    </row>
    <row r="771" spans="2:2" x14ac:dyDescent="0.25">
      <c r="B771" s="2" t="e">
        <f>Tabla1[[#This Row],[Nombre insumo]]</f>
        <v>#VALUE!</v>
      </c>
    </row>
    <row r="772" spans="2:2" x14ac:dyDescent="0.25">
      <c r="B772" s="2" t="e">
        <f>Tabla1[[#This Row],[Nombre insumo]]</f>
        <v>#VALUE!</v>
      </c>
    </row>
    <row r="773" spans="2:2" x14ac:dyDescent="0.25">
      <c r="B773" s="2" t="e">
        <f>Tabla1[[#This Row],[Nombre insumo]]</f>
        <v>#VALUE!</v>
      </c>
    </row>
    <row r="774" spans="2:2" x14ac:dyDescent="0.25">
      <c r="B774" s="2" t="e">
        <f>Tabla1[[#This Row],[Nombre insumo]]</f>
        <v>#VALUE!</v>
      </c>
    </row>
    <row r="775" spans="2:2" x14ac:dyDescent="0.25">
      <c r="B775" s="2" t="e">
        <f>Tabla1[[#This Row],[Nombre insumo]]</f>
        <v>#VALUE!</v>
      </c>
    </row>
    <row r="776" spans="2:2" x14ac:dyDescent="0.25">
      <c r="B776" s="2" t="e">
        <f>Tabla1[[#This Row],[Nombre insumo]]</f>
        <v>#VALUE!</v>
      </c>
    </row>
    <row r="777" spans="2:2" x14ac:dyDescent="0.25">
      <c r="B777" s="2" t="e">
        <f>Tabla1[[#This Row],[Nombre insumo]]</f>
        <v>#VALUE!</v>
      </c>
    </row>
    <row r="778" spans="2:2" x14ac:dyDescent="0.25">
      <c r="B778" s="2" t="e">
        <f>Tabla1[[#This Row],[Nombre insumo]]</f>
        <v>#VALUE!</v>
      </c>
    </row>
    <row r="779" spans="2:2" x14ac:dyDescent="0.25">
      <c r="B779" s="2" t="e">
        <f>Tabla1[[#This Row],[Nombre insumo]]</f>
        <v>#VALUE!</v>
      </c>
    </row>
    <row r="780" spans="2:2" x14ac:dyDescent="0.25">
      <c r="B780" s="2" t="e">
        <f>Tabla1[[#This Row],[Nombre insumo]]</f>
        <v>#VALUE!</v>
      </c>
    </row>
    <row r="781" spans="2:2" x14ac:dyDescent="0.25">
      <c r="B781" s="2" t="e">
        <f>Tabla1[[#This Row],[Nombre insumo]]</f>
        <v>#VALUE!</v>
      </c>
    </row>
    <row r="782" spans="2:2" x14ac:dyDescent="0.25">
      <c r="B782" s="2" t="e">
        <f>Tabla1[[#This Row],[Nombre insumo]]</f>
        <v>#VALUE!</v>
      </c>
    </row>
    <row r="783" spans="2:2" x14ac:dyDescent="0.25">
      <c r="B783" s="2" t="e">
        <f>Tabla1[[#This Row],[Nombre insumo]]</f>
        <v>#VALUE!</v>
      </c>
    </row>
    <row r="784" spans="2:2" x14ac:dyDescent="0.25">
      <c r="B784" s="2" t="e">
        <f>Tabla1[[#This Row],[Nombre insumo]]</f>
        <v>#VALUE!</v>
      </c>
    </row>
    <row r="785" spans="2:2" x14ac:dyDescent="0.25">
      <c r="B785" s="2" t="e">
        <f>Tabla1[[#This Row],[Nombre insumo]]</f>
        <v>#VALUE!</v>
      </c>
    </row>
    <row r="786" spans="2:2" x14ac:dyDescent="0.25">
      <c r="B786" s="2" t="e">
        <f>Tabla1[[#This Row],[Nombre insumo]]</f>
        <v>#VALUE!</v>
      </c>
    </row>
    <row r="787" spans="2:2" x14ac:dyDescent="0.25">
      <c r="B787" s="2" t="e">
        <f>Tabla1[[#This Row],[Nombre insumo]]</f>
        <v>#VALUE!</v>
      </c>
    </row>
    <row r="788" spans="2:2" x14ac:dyDescent="0.25">
      <c r="B788" s="2" t="e">
        <f>Tabla1[[#This Row],[Nombre insumo]]</f>
        <v>#VALUE!</v>
      </c>
    </row>
    <row r="789" spans="2:2" x14ac:dyDescent="0.25">
      <c r="B789" s="2" t="e">
        <f>Tabla1[[#This Row],[Nombre insumo]]</f>
        <v>#VALUE!</v>
      </c>
    </row>
    <row r="790" spans="2:2" x14ac:dyDescent="0.25">
      <c r="B790" s="2" t="e">
        <f>Tabla1[[#This Row],[Nombre insumo]]</f>
        <v>#VALUE!</v>
      </c>
    </row>
    <row r="791" spans="2:2" x14ac:dyDescent="0.25">
      <c r="B791" s="2" t="e">
        <f>Tabla1[[#This Row],[Nombre insumo]]</f>
        <v>#VALUE!</v>
      </c>
    </row>
    <row r="792" spans="2:2" x14ac:dyDescent="0.25">
      <c r="B792" s="2" t="e">
        <f>Tabla1[[#This Row],[Nombre insumo]]</f>
        <v>#VALUE!</v>
      </c>
    </row>
    <row r="793" spans="2:2" x14ac:dyDescent="0.25">
      <c r="B793" s="2" t="e">
        <f>Tabla1[[#This Row],[Nombre insumo]]</f>
        <v>#VALUE!</v>
      </c>
    </row>
    <row r="794" spans="2:2" x14ac:dyDescent="0.25">
      <c r="B794" s="2" t="e">
        <f>Tabla1[[#This Row],[Nombre insumo]]</f>
        <v>#VALUE!</v>
      </c>
    </row>
    <row r="795" spans="2:2" x14ac:dyDescent="0.25">
      <c r="B795" s="2" t="e">
        <f>Tabla1[[#This Row],[Nombre insumo]]</f>
        <v>#VALUE!</v>
      </c>
    </row>
    <row r="796" spans="2:2" x14ac:dyDescent="0.25">
      <c r="B796" s="2" t="e">
        <f>Tabla1[[#This Row],[Nombre insumo]]</f>
        <v>#VALUE!</v>
      </c>
    </row>
    <row r="797" spans="2:2" x14ac:dyDescent="0.25">
      <c r="B797" s="2" t="e">
        <f>Tabla1[[#This Row],[Nombre insumo]]</f>
        <v>#VALUE!</v>
      </c>
    </row>
    <row r="798" spans="2:2" x14ac:dyDescent="0.25">
      <c r="B798" s="2" t="e">
        <f>Tabla1[[#This Row],[Nombre insumo]]</f>
        <v>#VALUE!</v>
      </c>
    </row>
    <row r="799" spans="2:2" x14ac:dyDescent="0.25">
      <c r="B799" s="2" t="e">
        <f>Tabla1[[#This Row],[Nombre insumo]]</f>
        <v>#VALUE!</v>
      </c>
    </row>
    <row r="800" spans="2:2" x14ac:dyDescent="0.25">
      <c r="B800" s="2" t="e">
        <f>Tabla1[[#This Row],[Nombre insumo]]</f>
        <v>#VALUE!</v>
      </c>
    </row>
    <row r="801" spans="2:2" x14ac:dyDescent="0.25">
      <c r="B801" s="2" t="e">
        <f>Tabla1[[#This Row],[Nombre insumo]]</f>
        <v>#VALUE!</v>
      </c>
    </row>
    <row r="802" spans="2:2" x14ac:dyDescent="0.25">
      <c r="B802" s="2" t="e">
        <f>Tabla1[[#This Row],[Nombre insumo]]</f>
        <v>#VALUE!</v>
      </c>
    </row>
    <row r="803" spans="2:2" x14ac:dyDescent="0.25">
      <c r="B803" s="2" t="e">
        <f>Tabla1[[#This Row],[Nombre insumo]]</f>
        <v>#VALUE!</v>
      </c>
    </row>
    <row r="804" spans="2:2" x14ac:dyDescent="0.25">
      <c r="B804" s="2" t="e">
        <f>Tabla1[[#This Row],[Nombre insumo]]</f>
        <v>#VALUE!</v>
      </c>
    </row>
    <row r="805" spans="2:2" x14ac:dyDescent="0.25">
      <c r="B805" s="2" t="e">
        <f>Tabla1[[#This Row],[Nombre insumo]]</f>
        <v>#VALUE!</v>
      </c>
    </row>
    <row r="806" spans="2:2" x14ac:dyDescent="0.25">
      <c r="B806" s="2" t="e">
        <f>Tabla1[[#This Row],[Nombre insumo]]</f>
        <v>#VALUE!</v>
      </c>
    </row>
    <row r="807" spans="2:2" x14ac:dyDescent="0.25">
      <c r="B807" s="2" t="e">
        <f>Tabla1[[#This Row],[Nombre insumo]]</f>
        <v>#VALUE!</v>
      </c>
    </row>
    <row r="808" spans="2:2" x14ac:dyDescent="0.25">
      <c r="B808" s="2" t="e">
        <f>Tabla1[[#This Row],[Nombre insumo]]</f>
        <v>#VALUE!</v>
      </c>
    </row>
    <row r="809" spans="2:2" x14ac:dyDescent="0.25">
      <c r="B809" s="2" t="e">
        <f>Tabla1[[#This Row],[Nombre insumo]]</f>
        <v>#VALUE!</v>
      </c>
    </row>
    <row r="810" spans="2:2" x14ac:dyDescent="0.25">
      <c r="B810" s="2" t="e">
        <f>Tabla1[[#This Row],[Nombre insumo]]</f>
        <v>#VALUE!</v>
      </c>
    </row>
    <row r="811" spans="2:2" x14ac:dyDescent="0.25">
      <c r="B811" s="2" t="e">
        <f>Tabla1[[#This Row],[Nombre insumo]]</f>
        <v>#VALUE!</v>
      </c>
    </row>
    <row r="812" spans="2:2" x14ac:dyDescent="0.25">
      <c r="B812" s="2" t="e">
        <f>Tabla1[[#This Row],[Nombre insumo]]</f>
        <v>#VALUE!</v>
      </c>
    </row>
    <row r="813" spans="2:2" x14ac:dyDescent="0.25">
      <c r="B813" s="2" t="e">
        <f>Tabla1[[#This Row],[Nombre insumo]]</f>
        <v>#VALUE!</v>
      </c>
    </row>
    <row r="814" spans="2:2" x14ac:dyDescent="0.25">
      <c r="B814" s="2" t="e">
        <f>Tabla1[[#This Row],[Nombre insumo]]</f>
        <v>#VALUE!</v>
      </c>
    </row>
    <row r="815" spans="2:2" x14ac:dyDescent="0.25">
      <c r="B815" s="2" t="e">
        <f>Tabla1[[#This Row],[Nombre insumo]]</f>
        <v>#VALUE!</v>
      </c>
    </row>
    <row r="816" spans="2:2" x14ac:dyDescent="0.25">
      <c r="B816" s="2" t="e">
        <f>Tabla1[[#This Row],[Nombre insumo]]</f>
        <v>#VALUE!</v>
      </c>
    </row>
    <row r="817" spans="2:2" x14ac:dyDescent="0.25">
      <c r="B817" s="2" t="e">
        <f>Tabla1[[#This Row],[Nombre insumo]]</f>
        <v>#VALUE!</v>
      </c>
    </row>
    <row r="818" spans="2:2" x14ac:dyDescent="0.25">
      <c r="B818" s="2" t="e">
        <f>Tabla1[[#This Row],[Nombre insumo]]</f>
        <v>#VALUE!</v>
      </c>
    </row>
    <row r="819" spans="2:2" x14ac:dyDescent="0.25">
      <c r="B819" s="2" t="e">
        <f>Tabla1[[#This Row],[Nombre insumo]]</f>
        <v>#VALUE!</v>
      </c>
    </row>
    <row r="820" spans="2:2" x14ac:dyDescent="0.25">
      <c r="B820" s="2" t="e">
        <f>Tabla1[[#This Row],[Nombre insumo]]</f>
        <v>#VALUE!</v>
      </c>
    </row>
    <row r="821" spans="2:2" x14ac:dyDescent="0.25">
      <c r="B821" s="2" t="e">
        <f>Tabla1[[#This Row],[Nombre insumo]]</f>
        <v>#VALUE!</v>
      </c>
    </row>
    <row r="822" spans="2:2" x14ac:dyDescent="0.25">
      <c r="B822" s="2" t="e">
        <f>Tabla1[[#This Row],[Nombre insumo]]</f>
        <v>#VALUE!</v>
      </c>
    </row>
    <row r="823" spans="2:2" x14ac:dyDescent="0.25">
      <c r="B823" s="2" t="e">
        <f>Tabla1[[#This Row],[Nombre insumo]]</f>
        <v>#VALUE!</v>
      </c>
    </row>
    <row r="824" spans="2:2" x14ac:dyDescent="0.25">
      <c r="B824" s="2" t="e">
        <f>Tabla1[[#This Row],[Nombre insumo]]</f>
        <v>#VALUE!</v>
      </c>
    </row>
    <row r="825" spans="2:2" x14ac:dyDescent="0.25">
      <c r="B825" s="2" t="e">
        <f>Tabla1[[#This Row],[Nombre insumo]]</f>
        <v>#VALUE!</v>
      </c>
    </row>
    <row r="826" spans="2:2" x14ac:dyDescent="0.25">
      <c r="B826" s="2" t="e">
        <f>Tabla1[[#This Row],[Nombre insumo]]</f>
        <v>#VALUE!</v>
      </c>
    </row>
    <row r="827" spans="2:2" x14ac:dyDescent="0.25">
      <c r="B827" s="2" t="e">
        <f>Tabla1[[#This Row],[Nombre insumo]]</f>
        <v>#VALUE!</v>
      </c>
    </row>
    <row r="828" spans="2:2" x14ac:dyDescent="0.25">
      <c r="B828" s="2" t="e">
        <f>Tabla1[[#This Row],[Nombre insumo]]</f>
        <v>#VALUE!</v>
      </c>
    </row>
    <row r="829" spans="2:2" x14ac:dyDescent="0.25">
      <c r="B829" s="2" t="e">
        <f>Tabla1[[#This Row],[Nombre insumo]]</f>
        <v>#VALUE!</v>
      </c>
    </row>
    <row r="830" spans="2:2" x14ac:dyDescent="0.25">
      <c r="B830" s="2" t="e">
        <f>Tabla1[[#This Row],[Nombre insumo]]</f>
        <v>#VALUE!</v>
      </c>
    </row>
    <row r="831" spans="2:2" x14ac:dyDescent="0.25">
      <c r="B831" s="2" t="e">
        <f>Tabla1[[#This Row],[Nombre insumo]]</f>
        <v>#VALUE!</v>
      </c>
    </row>
    <row r="832" spans="2:2" x14ac:dyDescent="0.25">
      <c r="B832" s="2" t="e">
        <f>Tabla1[[#This Row],[Nombre insumo]]</f>
        <v>#VALUE!</v>
      </c>
    </row>
    <row r="833" spans="2:2" x14ac:dyDescent="0.25">
      <c r="B833" s="2" t="e">
        <f>Tabla1[[#This Row],[Nombre insumo]]</f>
        <v>#VALUE!</v>
      </c>
    </row>
    <row r="834" spans="2:2" x14ac:dyDescent="0.25">
      <c r="B834" s="2" t="e">
        <f>Tabla1[[#This Row],[Nombre insumo]]</f>
        <v>#VALUE!</v>
      </c>
    </row>
    <row r="835" spans="2:2" x14ac:dyDescent="0.25">
      <c r="B835" s="2" t="e">
        <f>Tabla1[[#This Row],[Nombre insumo]]</f>
        <v>#VALUE!</v>
      </c>
    </row>
    <row r="836" spans="2:2" x14ac:dyDescent="0.25">
      <c r="B836" s="2" t="e">
        <f>Tabla1[[#This Row],[Nombre insumo]]</f>
        <v>#VALUE!</v>
      </c>
    </row>
    <row r="837" spans="2:2" x14ac:dyDescent="0.25">
      <c r="B837" s="2" t="e">
        <f>Tabla1[[#This Row],[Nombre insumo]]</f>
        <v>#VALUE!</v>
      </c>
    </row>
    <row r="838" spans="2:2" x14ac:dyDescent="0.25">
      <c r="B838" s="2" t="e">
        <f>Tabla1[[#This Row],[Nombre insumo]]</f>
        <v>#VALUE!</v>
      </c>
    </row>
    <row r="839" spans="2:2" x14ac:dyDescent="0.25">
      <c r="B839" s="2" t="e">
        <f>Tabla1[[#This Row],[Nombre insumo]]</f>
        <v>#VALUE!</v>
      </c>
    </row>
    <row r="840" spans="2:2" x14ac:dyDescent="0.25">
      <c r="B840" s="2" t="e">
        <f>Tabla1[[#This Row],[Nombre insumo]]</f>
        <v>#VALUE!</v>
      </c>
    </row>
    <row r="841" spans="2:2" x14ac:dyDescent="0.25">
      <c r="B841" s="2" t="e">
        <f>Tabla1[[#This Row],[Nombre insumo]]</f>
        <v>#VALUE!</v>
      </c>
    </row>
    <row r="842" spans="2:2" x14ac:dyDescent="0.25">
      <c r="B842" s="2" t="e">
        <f>Tabla1[[#This Row],[Nombre insumo]]</f>
        <v>#VALUE!</v>
      </c>
    </row>
    <row r="843" spans="2:2" x14ac:dyDescent="0.25">
      <c r="B843" s="2" t="e">
        <f>Tabla1[[#This Row],[Nombre insumo]]</f>
        <v>#VALUE!</v>
      </c>
    </row>
    <row r="844" spans="2:2" x14ac:dyDescent="0.25">
      <c r="B844" s="2" t="e">
        <f>Tabla1[[#This Row],[Nombre insumo]]</f>
        <v>#VALUE!</v>
      </c>
    </row>
    <row r="845" spans="2:2" x14ac:dyDescent="0.25">
      <c r="B845" s="2" t="e">
        <f>Tabla1[[#This Row],[Nombre insumo]]</f>
        <v>#VALUE!</v>
      </c>
    </row>
    <row r="846" spans="2:2" x14ac:dyDescent="0.25">
      <c r="B846" s="2" t="e">
        <f>Tabla1[[#This Row],[Nombre insumo]]</f>
        <v>#VALUE!</v>
      </c>
    </row>
    <row r="847" spans="2:2" x14ac:dyDescent="0.25">
      <c r="B847" s="2" t="e">
        <f>Tabla1[[#This Row],[Nombre insumo]]</f>
        <v>#VALUE!</v>
      </c>
    </row>
    <row r="848" spans="2:2" x14ac:dyDescent="0.25">
      <c r="B848" s="2" t="e">
        <f>Tabla1[[#This Row],[Nombre insumo]]</f>
        <v>#VALUE!</v>
      </c>
    </row>
    <row r="849" spans="2:2" x14ac:dyDescent="0.25">
      <c r="B849" s="2" t="e">
        <f>Tabla1[[#This Row],[Nombre insumo]]</f>
        <v>#VALUE!</v>
      </c>
    </row>
    <row r="850" spans="2:2" x14ac:dyDescent="0.25">
      <c r="B850" s="2" t="e">
        <f>Tabla1[[#This Row],[Nombre insumo]]</f>
        <v>#VALUE!</v>
      </c>
    </row>
    <row r="851" spans="2:2" x14ac:dyDescent="0.25">
      <c r="B851" s="2" t="e">
        <f>Tabla1[[#This Row],[Nombre insumo]]</f>
        <v>#VALUE!</v>
      </c>
    </row>
    <row r="852" spans="2:2" x14ac:dyDescent="0.25">
      <c r="B852" s="2" t="e">
        <f>Tabla1[[#This Row],[Nombre insumo]]</f>
        <v>#VALUE!</v>
      </c>
    </row>
    <row r="853" spans="2:2" x14ac:dyDescent="0.25">
      <c r="B853" s="2" t="e">
        <f>Tabla1[[#This Row],[Nombre insumo]]</f>
        <v>#VALUE!</v>
      </c>
    </row>
    <row r="854" spans="2:2" x14ac:dyDescent="0.25">
      <c r="B854" s="2" t="e">
        <f>Tabla1[[#This Row],[Nombre insumo]]</f>
        <v>#VALUE!</v>
      </c>
    </row>
    <row r="855" spans="2:2" x14ac:dyDescent="0.25">
      <c r="B855" s="2" t="e">
        <f>Tabla1[[#This Row],[Nombre insumo]]</f>
        <v>#VALUE!</v>
      </c>
    </row>
    <row r="856" spans="2:2" x14ac:dyDescent="0.25">
      <c r="B856" s="2" t="e">
        <f>Tabla1[[#This Row],[Nombre insumo]]</f>
        <v>#VALUE!</v>
      </c>
    </row>
    <row r="857" spans="2:2" x14ac:dyDescent="0.25">
      <c r="B857" s="2" t="e">
        <f>Tabla1[[#This Row],[Nombre insumo]]</f>
        <v>#VALUE!</v>
      </c>
    </row>
    <row r="858" spans="2:2" x14ac:dyDescent="0.25">
      <c r="B858" s="2" t="e">
        <f>Tabla1[[#This Row],[Nombre insumo]]</f>
        <v>#VALUE!</v>
      </c>
    </row>
    <row r="859" spans="2:2" x14ac:dyDescent="0.25">
      <c r="B859" s="2" t="e">
        <f>Tabla1[[#This Row],[Nombre insumo]]</f>
        <v>#VALUE!</v>
      </c>
    </row>
    <row r="860" spans="2:2" x14ac:dyDescent="0.25">
      <c r="B860" s="2" t="e">
        <f>Tabla1[[#This Row],[Nombre insumo]]</f>
        <v>#VALUE!</v>
      </c>
    </row>
    <row r="861" spans="2:2" x14ac:dyDescent="0.25">
      <c r="B861" s="2" t="e">
        <f>Tabla1[[#This Row],[Nombre insumo]]</f>
        <v>#VALUE!</v>
      </c>
    </row>
    <row r="862" spans="2:2" x14ac:dyDescent="0.25">
      <c r="B862" s="2" t="e">
        <f>Tabla1[[#This Row],[Nombre insumo]]</f>
        <v>#VALUE!</v>
      </c>
    </row>
    <row r="863" spans="2:2" x14ac:dyDescent="0.25">
      <c r="B863" s="2" t="e">
        <f>Tabla1[[#This Row],[Nombre insumo]]</f>
        <v>#VALUE!</v>
      </c>
    </row>
    <row r="864" spans="2:2" x14ac:dyDescent="0.25">
      <c r="B864" s="2" t="e">
        <f>Tabla1[[#This Row],[Nombre insumo]]</f>
        <v>#VALUE!</v>
      </c>
    </row>
    <row r="865" spans="2:2" x14ac:dyDescent="0.25">
      <c r="B865" s="2" t="e">
        <f>Tabla1[[#This Row],[Nombre insumo]]</f>
        <v>#VALUE!</v>
      </c>
    </row>
    <row r="866" spans="2:2" x14ac:dyDescent="0.25">
      <c r="B866" s="2" t="e">
        <f>Tabla1[[#This Row],[Nombre insumo]]</f>
        <v>#VALUE!</v>
      </c>
    </row>
    <row r="867" spans="2:2" x14ac:dyDescent="0.25">
      <c r="B867" s="2" t="e">
        <f>Tabla1[[#This Row],[Nombre insumo]]</f>
        <v>#VALUE!</v>
      </c>
    </row>
    <row r="868" spans="2:2" x14ac:dyDescent="0.25">
      <c r="B868" s="2" t="e">
        <f>Tabla1[[#This Row],[Nombre insumo]]</f>
        <v>#VALUE!</v>
      </c>
    </row>
    <row r="869" spans="2:2" x14ac:dyDescent="0.25">
      <c r="B869" s="2" t="e">
        <f>Tabla1[[#This Row],[Nombre insumo]]</f>
        <v>#VALUE!</v>
      </c>
    </row>
    <row r="870" spans="2:2" x14ac:dyDescent="0.25">
      <c r="B870" s="2" t="e">
        <f>Tabla1[[#This Row],[Nombre insumo]]</f>
        <v>#VALUE!</v>
      </c>
    </row>
    <row r="871" spans="2:2" x14ac:dyDescent="0.25">
      <c r="B871" s="2" t="e">
        <f>Tabla1[[#This Row],[Nombre insumo]]</f>
        <v>#VALUE!</v>
      </c>
    </row>
    <row r="872" spans="2:2" x14ac:dyDescent="0.25">
      <c r="B872" s="2" t="e">
        <f>Tabla1[[#This Row],[Nombre insumo]]</f>
        <v>#VALUE!</v>
      </c>
    </row>
    <row r="873" spans="2:2" x14ac:dyDescent="0.25">
      <c r="B873" s="2" t="e">
        <f>Tabla1[[#This Row],[Nombre insumo]]</f>
        <v>#VALUE!</v>
      </c>
    </row>
    <row r="874" spans="2:2" x14ac:dyDescent="0.25">
      <c r="B874" s="2" t="e">
        <f>Tabla1[[#This Row],[Nombre insumo]]</f>
        <v>#VALUE!</v>
      </c>
    </row>
    <row r="875" spans="2:2" x14ac:dyDescent="0.25">
      <c r="B875" s="2" t="e">
        <f>Tabla1[[#This Row],[Nombre insumo]]</f>
        <v>#VALUE!</v>
      </c>
    </row>
    <row r="876" spans="2:2" x14ac:dyDescent="0.25">
      <c r="B876" s="2" t="e">
        <f>Tabla1[[#This Row],[Nombre insumo]]</f>
        <v>#VALUE!</v>
      </c>
    </row>
    <row r="877" spans="2:2" x14ac:dyDescent="0.25">
      <c r="B877" s="2" t="e">
        <f>Tabla1[[#This Row],[Nombre insumo]]</f>
        <v>#VALUE!</v>
      </c>
    </row>
    <row r="878" spans="2:2" x14ac:dyDescent="0.25">
      <c r="B878" s="2" t="e">
        <f>Tabla1[[#This Row],[Nombre insumo]]</f>
        <v>#VALUE!</v>
      </c>
    </row>
    <row r="879" spans="2:2" x14ac:dyDescent="0.25">
      <c r="B879" s="2" t="e">
        <f>Tabla1[[#This Row],[Nombre insumo]]</f>
        <v>#VALUE!</v>
      </c>
    </row>
    <row r="880" spans="2:2" x14ac:dyDescent="0.25">
      <c r="B880" s="2" t="e">
        <f>Tabla1[[#This Row],[Nombre insumo]]</f>
        <v>#VALUE!</v>
      </c>
    </row>
    <row r="881" spans="2:2" x14ac:dyDescent="0.25">
      <c r="B881" s="2" t="e">
        <f>Tabla1[[#This Row],[Nombre insumo]]</f>
        <v>#VALUE!</v>
      </c>
    </row>
    <row r="882" spans="2:2" x14ac:dyDescent="0.25">
      <c r="B882" s="2" t="e">
        <f>Tabla1[[#This Row],[Nombre insumo]]</f>
        <v>#VALUE!</v>
      </c>
    </row>
    <row r="883" spans="2:2" x14ac:dyDescent="0.25">
      <c r="B883" s="2" t="e">
        <f>Tabla1[[#This Row],[Nombre insumo]]</f>
        <v>#VALUE!</v>
      </c>
    </row>
    <row r="884" spans="2:2" x14ac:dyDescent="0.25">
      <c r="B884" s="2" t="e">
        <f>Tabla1[[#This Row],[Nombre insumo]]</f>
        <v>#VALUE!</v>
      </c>
    </row>
    <row r="885" spans="2:2" x14ac:dyDescent="0.25">
      <c r="B885" s="2" t="e">
        <f>Tabla1[[#This Row],[Nombre insumo]]</f>
        <v>#VALUE!</v>
      </c>
    </row>
    <row r="886" spans="2:2" x14ac:dyDescent="0.25">
      <c r="B886" s="2" t="e">
        <f>Tabla1[[#This Row],[Nombre insumo]]</f>
        <v>#VALUE!</v>
      </c>
    </row>
    <row r="887" spans="2:2" x14ac:dyDescent="0.25">
      <c r="B887" s="2" t="e">
        <f>Tabla1[[#This Row],[Nombre insumo]]</f>
        <v>#VALUE!</v>
      </c>
    </row>
    <row r="888" spans="2:2" x14ac:dyDescent="0.25">
      <c r="B888" s="2" t="e">
        <f>Tabla1[[#This Row],[Nombre insumo]]</f>
        <v>#VALUE!</v>
      </c>
    </row>
    <row r="889" spans="2:2" x14ac:dyDescent="0.25">
      <c r="B889" s="2" t="e">
        <f>Tabla1[[#This Row],[Nombre insumo]]</f>
        <v>#VALUE!</v>
      </c>
    </row>
    <row r="890" spans="2:2" x14ac:dyDescent="0.25">
      <c r="B890" s="2" t="e">
        <f>Tabla1[[#This Row],[Nombre insumo]]</f>
        <v>#VALUE!</v>
      </c>
    </row>
    <row r="891" spans="2:2" x14ac:dyDescent="0.25">
      <c r="B891" s="2" t="e">
        <f>Tabla1[[#This Row],[Nombre insumo]]</f>
        <v>#VALUE!</v>
      </c>
    </row>
    <row r="892" spans="2:2" x14ac:dyDescent="0.25">
      <c r="B892" s="2" t="e">
        <f>Tabla1[[#This Row],[Nombre insumo]]</f>
        <v>#VALUE!</v>
      </c>
    </row>
    <row r="893" spans="2:2" x14ac:dyDescent="0.25">
      <c r="B893" s="2" t="e">
        <f>Tabla1[[#This Row],[Nombre insumo]]</f>
        <v>#VALUE!</v>
      </c>
    </row>
    <row r="894" spans="2:2" x14ac:dyDescent="0.25">
      <c r="B894" s="2" t="e">
        <f>Tabla1[[#This Row],[Nombre insumo]]</f>
        <v>#VALUE!</v>
      </c>
    </row>
    <row r="895" spans="2:2" x14ac:dyDescent="0.25">
      <c r="B895" s="2" t="e">
        <f>Tabla1[[#This Row],[Nombre insumo]]</f>
        <v>#VALUE!</v>
      </c>
    </row>
    <row r="896" spans="2:2" x14ac:dyDescent="0.25">
      <c r="B896" s="2" t="e">
        <f>Tabla1[[#This Row],[Nombre insumo]]</f>
        <v>#VALUE!</v>
      </c>
    </row>
    <row r="897" spans="2:2" x14ac:dyDescent="0.25">
      <c r="B897" s="2" t="e">
        <f>Tabla1[[#This Row],[Nombre insumo]]</f>
        <v>#VALUE!</v>
      </c>
    </row>
    <row r="898" spans="2:2" x14ac:dyDescent="0.25">
      <c r="B898" s="2" t="e">
        <f>Tabla1[[#This Row],[Nombre insumo]]</f>
        <v>#VALUE!</v>
      </c>
    </row>
    <row r="899" spans="2:2" x14ac:dyDescent="0.25">
      <c r="B899" s="2" t="e">
        <f>Tabla1[[#This Row],[Nombre insumo]]</f>
        <v>#VALUE!</v>
      </c>
    </row>
    <row r="900" spans="2:2" x14ac:dyDescent="0.25">
      <c r="B900" s="2" t="e">
        <f>Tabla1[[#This Row],[Nombre insumo]]</f>
        <v>#VALUE!</v>
      </c>
    </row>
    <row r="901" spans="2:2" x14ac:dyDescent="0.25">
      <c r="B901" s="2" t="e">
        <f>Tabla1[[#This Row],[Nombre insumo]]</f>
        <v>#VALUE!</v>
      </c>
    </row>
    <row r="902" spans="2:2" x14ac:dyDescent="0.25">
      <c r="B902" s="2" t="e">
        <f>Tabla1[[#This Row],[Nombre insumo]]</f>
        <v>#VALUE!</v>
      </c>
    </row>
    <row r="903" spans="2:2" x14ac:dyDescent="0.25">
      <c r="B903" s="2" t="e">
        <f>Tabla1[[#This Row],[Nombre insumo]]</f>
        <v>#VALUE!</v>
      </c>
    </row>
    <row r="904" spans="2:2" x14ac:dyDescent="0.25">
      <c r="B904" s="2" t="e">
        <f>Tabla1[[#This Row],[Nombre insumo]]</f>
        <v>#VALUE!</v>
      </c>
    </row>
    <row r="905" spans="2:2" x14ac:dyDescent="0.25">
      <c r="B905" s="2" t="e">
        <f>Tabla1[[#This Row],[Nombre insumo]]</f>
        <v>#VALUE!</v>
      </c>
    </row>
    <row r="906" spans="2:2" x14ac:dyDescent="0.25">
      <c r="B906" s="2" t="e">
        <f>Tabla1[[#This Row],[Nombre insumo]]</f>
        <v>#VALUE!</v>
      </c>
    </row>
    <row r="907" spans="2:2" x14ac:dyDescent="0.25">
      <c r="B907" s="2" t="e">
        <f>Tabla1[[#This Row],[Nombre insumo]]</f>
        <v>#VALUE!</v>
      </c>
    </row>
    <row r="908" spans="2:2" x14ac:dyDescent="0.25">
      <c r="B908" s="2" t="e">
        <f>Tabla1[[#This Row],[Nombre insumo]]</f>
        <v>#VALUE!</v>
      </c>
    </row>
    <row r="909" spans="2:2" x14ac:dyDescent="0.25">
      <c r="B909" s="2" t="e">
        <f>Tabla1[[#This Row],[Nombre insumo]]</f>
        <v>#VALUE!</v>
      </c>
    </row>
    <row r="910" spans="2:2" x14ac:dyDescent="0.25">
      <c r="B910" s="2" t="e">
        <f>Tabla1[[#This Row],[Nombre insumo]]</f>
        <v>#VALUE!</v>
      </c>
    </row>
    <row r="911" spans="2:2" x14ac:dyDescent="0.25">
      <c r="B911" s="2" t="e">
        <f>Tabla1[[#This Row],[Nombre insumo]]</f>
        <v>#VALUE!</v>
      </c>
    </row>
    <row r="912" spans="2:2" x14ac:dyDescent="0.25">
      <c r="B912" s="2" t="e">
        <f>Tabla1[[#This Row],[Nombre insumo]]</f>
        <v>#VALUE!</v>
      </c>
    </row>
    <row r="913" spans="2:2" x14ac:dyDescent="0.25">
      <c r="B913" s="2" t="e">
        <f>Tabla1[[#This Row],[Nombre insumo]]</f>
        <v>#VALUE!</v>
      </c>
    </row>
    <row r="914" spans="2:2" x14ac:dyDescent="0.25">
      <c r="B914" s="2" t="e">
        <f>Tabla1[[#This Row],[Nombre insumo]]</f>
        <v>#VALUE!</v>
      </c>
    </row>
    <row r="915" spans="2:2" x14ac:dyDescent="0.25">
      <c r="B915" s="2" t="e">
        <f>Tabla1[[#This Row],[Nombre insumo]]</f>
        <v>#VALUE!</v>
      </c>
    </row>
    <row r="916" spans="2:2" x14ac:dyDescent="0.25">
      <c r="B916" s="2" t="e">
        <f>Tabla1[[#This Row],[Nombre insumo]]</f>
        <v>#VALUE!</v>
      </c>
    </row>
    <row r="917" spans="2:2" x14ac:dyDescent="0.25">
      <c r="B917" s="2" t="e">
        <f>Tabla1[[#This Row],[Nombre insumo]]</f>
        <v>#VALUE!</v>
      </c>
    </row>
    <row r="918" spans="2:2" x14ac:dyDescent="0.25">
      <c r="B918" s="2" t="e">
        <f>Tabla1[[#This Row],[Nombre insumo]]</f>
        <v>#VALUE!</v>
      </c>
    </row>
    <row r="919" spans="2:2" x14ac:dyDescent="0.25">
      <c r="B919" s="2" t="e">
        <f>Tabla1[[#This Row],[Nombre insumo]]</f>
        <v>#VALUE!</v>
      </c>
    </row>
    <row r="920" spans="2:2" x14ac:dyDescent="0.25">
      <c r="B920" s="2" t="e">
        <f>Tabla1[[#This Row],[Nombre insumo]]</f>
        <v>#VALUE!</v>
      </c>
    </row>
    <row r="921" spans="2:2" x14ac:dyDescent="0.25">
      <c r="B921" s="2" t="e">
        <f>Tabla1[[#This Row],[Nombre insumo]]</f>
        <v>#VALUE!</v>
      </c>
    </row>
    <row r="922" spans="2:2" x14ac:dyDescent="0.25">
      <c r="B922" s="2" t="e">
        <f>Tabla1[[#This Row],[Nombre insumo]]</f>
        <v>#VALUE!</v>
      </c>
    </row>
    <row r="923" spans="2:2" x14ac:dyDescent="0.25">
      <c r="B923" s="2" t="e">
        <f>Tabla1[[#This Row],[Nombre insumo]]</f>
        <v>#VALUE!</v>
      </c>
    </row>
    <row r="924" spans="2:2" x14ac:dyDescent="0.25">
      <c r="B924" s="2" t="e">
        <f>Tabla1[[#This Row],[Nombre insumo]]</f>
        <v>#VALUE!</v>
      </c>
    </row>
    <row r="925" spans="2:2" x14ac:dyDescent="0.25">
      <c r="B925" s="2" t="e">
        <f>Tabla1[[#This Row],[Nombre insumo]]</f>
        <v>#VALUE!</v>
      </c>
    </row>
    <row r="926" spans="2:2" x14ac:dyDescent="0.25">
      <c r="B926" s="2" t="e">
        <f>Tabla1[[#This Row],[Nombre insumo]]</f>
        <v>#VALUE!</v>
      </c>
    </row>
    <row r="927" spans="2:2" x14ac:dyDescent="0.25">
      <c r="B927" s="2" t="e">
        <f>Tabla1[[#This Row],[Nombre insumo]]</f>
        <v>#VALUE!</v>
      </c>
    </row>
    <row r="928" spans="2:2" x14ac:dyDescent="0.25">
      <c r="B928" s="2" t="e">
        <f>Tabla1[[#This Row],[Nombre insumo]]</f>
        <v>#VALUE!</v>
      </c>
    </row>
    <row r="929" spans="2:2" x14ac:dyDescent="0.25">
      <c r="B929" s="2" t="e">
        <f>Tabla1[[#This Row],[Nombre insumo]]</f>
        <v>#VALUE!</v>
      </c>
    </row>
    <row r="930" spans="2:2" x14ac:dyDescent="0.25">
      <c r="B930" s="2" t="e">
        <f>Tabla1[[#This Row],[Nombre insumo]]</f>
        <v>#VALUE!</v>
      </c>
    </row>
    <row r="931" spans="2:2" x14ac:dyDescent="0.25">
      <c r="B931" s="2" t="e">
        <f>Tabla1[[#This Row],[Nombre insumo]]</f>
        <v>#VALUE!</v>
      </c>
    </row>
    <row r="932" spans="2:2" x14ac:dyDescent="0.25">
      <c r="B932" s="2" t="e">
        <f>Tabla1[[#This Row],[Nombre insumo]]</f>
        <v>#VALUE!</v>
      </c>
    </row>
    <row r="933" spans="2:2" x14ac:dyDescent="0.25">
      <c r="B933" s="2" t="e">
        <f>Tabla1[[#This Row],[Nombre insumo]]</f>
        <v>#VALUE!</v>
      </c>
    </row>
    <row r="934" spans="2:2" x14ac:dyDescent="0.25">
      <c r="B934" s="2" t="e">
        <f>Tabla1[[#This Row],[Nombre insumo]]</f>
        <v>#VALUE!</v>
      </c>
    </row>
    <row r="935" spans="2:2" x14ac:dyDescent="0.25">
      <c r="B935" s="2" t="e">
        <f>Tabla1[[#This Row],[Nombre insumo]]</f>
        <v>#VALUE!</v>
      </c>
    </row>
    <row r="936" spans="2:2" x14ac:dyDescent="0.25">
      <c r="B936" s="2" t="e">
        <f>Tabla1[[#This Row],[Nombre insumo]]</f>
        <v>#VALUE!</v>
      </c>
    </row>
    <row r="937" spans="2:2" x14ac:dyDescent="0.25">
      <c r="B937" s="2" t="e">
        <f>Tabla1[[#This Row],[Nombre insumo]]</f>
        <v>#VALUE!</v>
      </c>
    </row>
    <row r="938" spans="2:2" x14ac:dyDescent="0.25">
      <c r="B938" s="2" t="e">
        <f>Tabla1[[#This Row],[Nombre insumo]]</f>
        <v>#VALUE!</v>
      </c>
    </row>
    <row r="939" spans="2:2" x14ac:dyDescent="0.25">
      <c r="B939" s="2" t="e">
        <f>Tabla1[[#This Row],[Nombre insumo]]</f>
        <v>#VALUE!</v>
      </c>
    </row>
    <row r="940" spans="2:2" x14ac:dyDescent="0.25">
      <c r="B940" s="2" t="e">
        <f>Tabla1[[#This Row],[Nombre insumo]]</f>
        <v>#VALUE!</v>
      </c>
    </row>
    <row r="941" spans="2:2" x14ac:dyDescent="0.25">
      <c r="B941" s="2" t="e">
        <f>Tabla1[[#This Row],[Nombre insumo]]</f>
        <v>#VALUE!</v>
      </c>
    </row>
    <row r="942" spans="2:2" x14ac:dyDescent="0.25">
      <c r="B942" s="2" t="e">
        <f>Tabla1[[#This Row],[Nombre insumo]]</f>
        <v>#VALUE!</v>
      </c>
    </row>
    <row r="943" spans="2:2" x14ac:dyDescent="0.25">
      <c r="B943" s="2" t="e">
        <f>Tabla1[[#This Row],[Nombre insumo]]</f>
        <v>#VALUE!</v>
      </c>
    </row>
    <row r="944" spans="2:2" x14ac:dyDescent="0.25">
      <c r="B944" s="2" t="e">
        <f>Tabla1[[#This Row],[Nombre insumo]]</f>
        <v>#VALUE!</v>
      </c>
    </row>
    <row r="945" spans="2:2" x14ac:dyDescent="0.25">
      <c r="B945" s="2" t="e">
        <f>Tabla1[[#This Row],[Nombre insumo]]</f>
        <v>#VALUE!</v>
      </c>
    </row>
    <row r="946" spans="2:2" x14ac:dyDescent="0.25">
      <c r="B946" s="2" t="e">
        <f>Tabla1[[#This Row],[Nombre insumo]]</f>
        <v>#VALUE!</v>
      </c>
    </row>
    <row r="947" spans="2:2" x14ac:dyDescent="0.25">
      <c r="B947" s="2" t="e">
        <f>Tabla1[[#This Row],[Nombre insumo]]</f>
        <v>#VALUE!</v>
      </c>
    </row>
    <row r="948" spans="2:2" x14ac:dyDescent="0.25">
      <c r="B948" s="2" t="e">
        <f>Tabla1[[#This Row],[Nombre insumo]]</f>
        <v>#VALUE!</v>
      </c>
    </row>
    <row r="949" spans="2:2" x14ac:dyDescent="0.25">
      <c r="B949" s="2" t="e">
        <f>Tabla1[[#This Row],[Nombre insumo]]</f>
        <v>#VALUE!</v>
      </c>
    </row>
    <row r="950" spans="2:2" x14ac:dyDescent="0.25">
      <c r="B950" s="2" t="e">
        <f>Tabla1[[#This Row],[Nombre insumo]]</f>
        <v>#VALUE!</v>
      </c>
    </row>
    <row r="951" spans="2:2" x14ac:dyDescent="0.25">
      <c r="B951" s="2" t="e">
        <f>Tabla1[[#This Row],[Nombre insumo]]</f>
        <v>#VALUE!</v>
      </c>
    </row>
    <row r="952" spans="2:2" x14ac:dyDescent="0.25">
      <c r="B952" s="2" t="e">
        <f>Tabla1[[#This Row],[Nombre insumo]]</f>
        <v>#VALUE!</v>
      </c>
    </row>
    <row r="953" spans="2:2" x14ac:dyDescent="0.25">
      <c r="B953" s="2" t="e">
        <f>Tabla1[[#This Row],[Nombre insumo]]</f>
        <v>#VALUE!</v>
      </c>
    </row>
    <row r="954" spans="2:2" x14ac:dyDescent="0.25">
      <c r="B954" s="2" t="e">
        <f>Tabla1[[#This Row],[Nombre insumo]]</f>
        <v>#VALUE!</v>
      </c>
    </row>
    <row r="955" spans="2:2" x14ac:dyDescent="0.25">
      <c r="B955" s="2" t="e">
        <f>Tabla1[[#This Row],[Nombre insumo]]</f>
        <v>#VALUE!</v>
      </c>
    </row>
    <row r="956" spans="2:2" x14ac:dyDescent="0.25">
      <c r="B956" s="2" t="e">
        <f>Tabla1[[#This Row],[Nombre insumo]]</f>
        <v>#VALUE!</v>
      </c>
    </row>
    <row r="957" spans="2:2" x14ac:dyDescent="0.25">
      <c r="B957" s="2" t="e">
        <f>Tabla1[[#This Row],[Nombre insumo]]</f>
        <v>#VALUE!</v>
      </c>
    </row>
    <row r="958" spans="2:2" x14ac:dyDescent="0.25">
      <c r="B958" s="2" t="e">
        <f>Tabla1[[#This Row],[Nombre insumo]]</f>
        <v>#VALUE!</v>
      </c>
    </row>
    <row r="959" spans="2:2" x14ac:dyDescent="0.25">
      <c r="B959" s="2" t="e">
        <f>Tabla1[[#This Row],[Nombre insumo]]</f>
        <v>#VALUE!</v>
      </c>
    </row>
    <row r="960" spans="2:2" x14ac:dyDescent="0.25">
      <c r="B960" s="2" t="e">
        <f>Tabla1[[#This Row],[Nombre insumo]]</f>
        <v>#VALUE!</v>
      </c>
    </row>
    <row r="961" spans="2:2" x14ac:dyDescent="0.25">
      <c r="B961" s="2" t="e">
        <f>Tabla1[[#This Row],[Nombre insumo]]</f>
        <v>#VALUE!</v>
      </c>
    </row>
    <row r="962" spans="2:2" x14ac:dyDescent="0.25">
      <c r="B962" s="2" t="e">
        <f>Tabla1[[#This Row],[Nombre insumo]]</f>
        <v>#VALUE!</v>
      </c>
    </row>
    <row r="963" spans="2:2" x14ac:dyDescent="0.25">
      <c r="B963" s="2" t="e">
        <f>Tabla1[[#This Row],[Nombre insumo]]</f>
        <v>#VALUE!</v>
      </c>
    </row>
    <row r="964" spans="2:2" x14ac:dyDescent="0.25">
      <c r="B964" s="2" t="e">
        <f>Tabla1[[#This Row],[Nombre insumo]]</f>
        <v>#VALUE!</v>
      </c>
    </row>
    <row r="965" spans="2:2" x14ac:dyDescent="0.25">
      <c r="B965" s="2" t="e">
        <f>Tabla1[[#This Row],[Nombre insumo]]</f>
        <v>#VALUE!</v>
      </c>
    </row>
    <row r="966" spans="2:2" x14ac:dyDescent="0.25">
      <c r="B966" s="2" t="e">
        <f>Tabla1[[#This Row],[Nombre insumo]]</f>
        <v>#VALUE!</v>
      </c>
    </row>
    <row r="967" spans="2:2" x14ac:dyDescent="0.25">
      <c r="B967" s="2" t="e">
        <f>Tabla1[[#This Row],[Nombre insumo]]</f>
        <v>#VALUE!</v>
      </c>
    </row>
    <row r="968" spans="2:2" x14ac:dyDescent="0.25">
      <c r="B968" s="2" t="e">
        <f>Tabla1[[#This Row],[Nombre insumo]]</f>
        <v>#VALUE!</v>
      </c>
    </row>
    <row r="969" spans="2:2" x14ac:dyDescent="0.25">
      <c r="B969" s="2" t="e">
        <f>Tabla1[[#This Row],[Nombre insumo]]</f>
        <v>#VALUE!</v>
      </c>
    </row>
    <row r="970" spans="2:2" x14ac:dyDescent="0.25">
      <c r="B970" s="2" t="e">
        <f>Tabla1[[#This Row],[Nombre insumo]]</f>
        <v>#VALUE!</v>
      </c>
    </row>
    <row r="971" spans="2:2" x14ac:dyDescent="0.25">
      <c r="B971" s="2" t="e">
        <f>Tabla1[[#This Row],[Nombre insumo]]</f>
        <v>#VALUE!</v>
      </c>
    </row>
    <row r="972" spans="2:2" x14ac:dyDescent="0.25">
      <c r="B972" s="2" t="e">
        <f>Tabla1[[#This Row],[Nombre insumo]]</f>
        <v>#VALUE!</v>
      </c>
    </row>
    <row r="973" spans="2:2" x14ac:dyDescent="0.25">
      <c r="B973" s="2" t="e">
        <f>Tabla1[[#This Row],[Nombre insumo]]</f>
        <v>#VALUE!</v>
      </c>
    </row>
    <row r="974" spans="2:2" x14ac:dyDescent="0.25">
      <c r="B974" s="2" t="e">
        <f>Tabla1[[#This Row],[Nombre insumo]]</f>
        <v>#VALUE!</v>
      </c>
    </row>
    <row r="975" spans="2:2" x14ac:dyDescent="0.25">
      <c r="B975" s="2" t="e">
        <f>Tabla1[[#This Row],[Nombre insumo]]</f>
        <v>#VALUE!</v>
      </c>
    </row>
    <row r="976" spans="2:2" x14ac:dyDescent="0.25">
      <c r="B976" s="2" t="e">
        <f>Tabla1[[#This Row],[Nombre insumo]]</f>
        <v>#VALUE!</v>
      </c>
    </row>
    <row r="977" spans="2:2" x14ac:dyDescent="0.25">
      <c r="B977" s="2" t="e">
        <f>Tabla1[[#This Row],[Nombre insumo]]</f>
        <v>#VALUE!</v>
      </c>
    </row>
    <row r="978" spans="2:2" x14ac:dyDescent="0.25">
      <c r="B978" s="2" t="e">
        <f>Tabla1[[#This Row],[Nombre insumo]]</f>
        <v>#VALUE!</v>
      </c>
    </row>
    <row r="979" spans="2:2" x14ac:dyDescent="0.25">
      <c r="B979" s="2" t="e">
        <f>Tabla1[[#This Row],[Nombre insumo]]</f>
        <v>#VALUE!</v>
      </c>
    </row>
    <row r="980" spans="2:2" x14ac:dyDescent="0.25">
      <c r="B980" s="2" t="e">
        <f>Tabla1[[#This Row],[Nombre insumo]]</f>
        <v>#VALUE!</v>
      </c>
    </row>
    <row r="981" spans="2:2" x14ac:dyDescent="0.25">
      <c r="B981" s="2" t="e">
        <f>Tabla1[[#This Row],[Nombre insumo]]</f>
        <v>#VALUE!</v>
      </c>
    </row>
    <row r="982" spans="2:2" x14ac:dyDescent="0.25">
      <c r="B982" s="2" t="e">
        <f>Tabla1[[#This Row],[Nombre insumo]]</f>
        <v>#VALUE!</v>
      </c>
    </row>
    <row r="983" spans="2:2" x14ac:dyDescent="0.25">
      <c r="B983" s="2" t="e">
        <f>Tabla1[[#This Row],[Nombre insumo]]</f>
        <v>#VALUE!</v>
      </c>
    </row>
    <row r="984" spans="2:2" x14ac:dyDescent="0.25">
      <c r="B984" s="2" t="e">
        <f>Tabla1[[#This Row],[Nombre insumo]]</f>
        <v>#VALUE!</v>
      </c>
    </row>
    <row r="985" spans="2:2" x14ac:dyDescent="0.25">
      <c r="B985" s="2" t="e">
        <f>Tabla1[[#This Row],[Nombre insumo]]</f>
        <v>#VALUE!</v>
      </c>
    </row>
    <row r="986" spans="2:2" x14ac:dyDescent="0.25">
      <c r="B986" s="2" t="e">
        <f>Tabla1[[#This Row],[Nombre insumo]]</f>
        <v>#VALUE!</v>
      </c>
    </row>
    <row r="987" spans="2:2" x14ac:dyDescent="0.25">
      <c r="B987" s="2" t="e">
        <f>Tabla1[[#This Row],[Nombre insumo]]</f>
        <v>#VALUE!</v>
      </c>
    </row>
    <row r="988" spans="2:2" x14ac:dyDescent="0.25">
      <c r="B988" s="2" t="e">
        <f>Tabla1[[#This Row],[Nombre insumo]]</f>
        <v>#VALUE!</v>
      </c>
    </row>
    <row r="989" spans="2:2" x14ac:dyDescent="0.25">
      <c r="B989" s="2" t="e">
        <f>Tabla1[[#This Row],[Nombre insumo]]</f>
        <v>#VALUE!</v>
      </c>
    </row>
    <row r="990" spans="2:2" x14ac:dyDescent="0.25">
      <c r="B990" s="2" t="e">
        <f>Tabla1[[#This Row],[Nombre insumo]]</f>
        <v>#VALUE!</v>
      </c>
    </row>
    <row r="991" spans="2:2" x14ac:dyDescent="0.25">
      <c r="B991" s="2" t="e">
        <f>Tabla1[[#This Row],[Nombre insumo]]</f>
        <v>#VALUE!</v>
      </c>
    </row>
    <row r="992" spans="2:2" x14ac:dyDescent="0.25">
      <c r="B992" s="2" t="e">
        <f>Tabla1[[#This Row],[Nombre insumo]]</f>
        <v>#VALUE!</v>
      </c>
    </row>
    <row r="993" spans="2:2" x14ac:dyDescent="0.25">
      <c r="B993" s="2" t="e">
        <f>Tabla1[[#This Row],[Nombre insumo]]</f>
        <v>#VALUE!</v>
      </c>
    </row>
    <row r="994" spans="2:2" x14ac:dyDescent="0.25">
      <c r="B994" s="2" t="e">
        <f>Tabla1[[#This Row],[Nombre insumo]]</f>
        <v>#VALUE!</v>
      </c>
    </row>
    <row r="995" spans="2:2" x14ac:dyDescent="0.25">
      <c r="B995" s="2" t="e">
        <f>Tabla1[[#This Row],[Nombre insumo]]</f>
        <v>#VALUE!</v>
      </c>
    </row>
    <row r="996" spans="2:2" x14ac:dyDescent="0.25">
      <c r="B996" s="2" t="e">
        <f>Tabla1[[#This Row],[Nombre insumo]]</f>
        <v>#VALUE!</v>
      </c>
    </row>
    <row r="997" spans="2:2" x14ac:dyDescent="0.25">
      <c r="B997" s="2" t="e">
        <f>Tabla1[[#This Row],[Nombre insumo]]</f>
        <v>#VALUE!</v>
      </c>
    </row>
    <row r="998" spans="2:2" x14ac:dyDescent="0.25">
      <c r="B998" s="2" t="e">
        <f>Tabla1[[#This Row],[Nombre insumo]]</f>
        <v>#VALUE!</v>
      </c>
    </row>
    <row r="999" spans="2:2" x14ac:dyDescent="0.25">
      <c r="B999" s="2" t="e">
        <f>Tabla1[[#This Row],[Nombre insumo]]</f>
        <v>#VALUE!</v>
      </c>
    </row>
    <row r="1000" spans="2:2" x14ac:dyDescent="0.25">
      <c r="B1000" s="2" t="e">
        <f>Tabla1[[#This Row],[Nombre insumo]]</f>
        <v>#VALUE!</v>
      </c>
    </row>
    <row r="1001" spans="2:2" x14ac:dyDescent="0.25">
      <c r="B1001" s="2" t="e">
        <f>Tabla1[[#This Row],[Nombre insumo]]</f>
        <v>#VALUE!</v>
      </c>
    </row>
    <row r="1002" spans="2:2" x14ac:dyDescent="0.25">
      <c r="B1002" s="2" t="e">
        <f>Tabla1[[#This Row],[Nombre insumo]]</f>
        <v>#VALUE!</v>
      </c>
    </row>
    <row r="1003" spans="2:2" x14ac:dyDescent="0.25">
      <c r="B1003" s="2" t="e">
        <f>Tabla1[[#This Row],[Nombre insumo]]</f>
        <v>#VALUE!</v>
      </c>
    </row>
    <row r="1004" spans="2:2" x14ac:dyDescent="0.25">
      <c r="B1004" s="2" t="e">
        <f>Tabla1[[#This Row],[Nombre insumo]]</f>
        <v>#VALUE!</v>
      </c>
    </row>
    <row r="1005" spans="2:2" x14ac:dyDescent="0.25">
      <c r="B1005" s="2" t="e">
        <f>Tabla1[[#This Row],[Nombre insumo]]</f>
        <v>#VALUE!</v>
      </c>
    </row>
    <row r="1006" spans="2:2" x14ac:dyDescent="0.25">
      <c r="B1006" s="2" t="e">
        <f>Tabla1[[#This Row],[Nombre insumo]]</f>
        <v>#VALUE!</v>
      </c>
    </row>
    <row r="1007" spans="2:2" x14ac:dyDescent="0.25">
      <c r="B1007" s="2" t="e">
        <f>Tabla1[[#This Row],[Nombre insumo]]</f>
        <v>#VALUE!</v>
      </c>
    </row>
    <row r="1008" spans="2:2" x14ac:dyDescent="0.25">
      <c r="B1008" s="2" t="e">
        <f>Tabla1[[#This Row],[Nombre insumo]]</f>
        <v>#VALUE!</v>
      </c>
    </row>
    <row r="1009" spans="2:2" x14ac:dyDescent="0.25">
      <c r="B1009" s="2" t="e">
        <f>Tabla1[[#This Row],[Nombre insumo]]</f>
        <v>#VALUE!</v>
      </c>
    </row>
    <row r="1010" spans="2:2" x14ac:dyDescent="0.25">
      <c r="B1010" s="2" t="e">
        <f>Tabla1[[#This Row],[Nombre insumo]]</f>
        <v>#VALUE!</v>
      </c>
    </row>
    <row r="1011" spans="2:2" x14ac:dyDescent="0.25">
      <c r="B1011" s="2" t="e">
        <f>Tabla1[[#This Row],[Nombre insumo]]</f>
        <v>#VALUE!</v>
      </c>
    </row>
    <row r="1012" spans="2:2" x14ac:dyDescent="0.25">
      <c r="B1012" s="2" t="e">
        <f>Tabla1[[#This Row],[Nombre insumo]]</f>
        <v>#VALUE!</v>
      </c>
    </row>
    <row r="1013" spans="2:2" x14ac:dyDescent="0.25">
      <c r="B1013" s="2" t="e">
        <f>Tabla1[[#This Row],[Nombre insumo]]</f>
        <v>#VALUE!</v>
      </c>
    </row>
    <row r="1014" spans="2:2" x14ac:dyDescent="0.25">
      <c r="B1014" s="2" t="e">
        <f>Tabla1[[#This Row],[Nombre insumo]]</f>
        <v>#VALUE!</v>
      </c>
    </row>
    <row r="1015" spans="2:2" x14ac:dyDescent="0.25">
      <c r="B1015" s="2" t="e">
        <f>Tabla1[[#This Row],[Nombre insumo]]</f>
        <v>#VALUE!</v>
      </c>
    </row>
    <row r="1016" spans="2:2" x14ac:dyDescent="0.25">
      <c r="B1016" s="2" t="e">
        <f>Tabla1[[#This Row],[Nombre insumo]]</f>
        <v>#VALUE!</v>
      </c>
    </row>
    <row r="1017" spans="2:2" x14ac:dyDescent="0.25">
      <c r="B1017" s="2" t="e">
        <f>Tabla1[[#This Row],[Nombre insumo]]</f>
        <v>#VALUE!</v>
      </c>
    </row>
    <row r="1018" spans="2:2" x14ac:dyDescent="0.25">
      <c r="B1018" s="2" t="e">
        <f>Tabla1[[#This Row],[Nombre insumo]]</f>
        <v>#VALUE!</v>
      </c>
    </row>
    <row r="1019" spans="2:2" x14ac:dyDescent="0.25">
      <c r="B1019" s="2" t="e">
        <f>Tabla1[[#This Row],[Nombre insumo]]</f>
        <v>#VALUE!</v>
      </c>
    </row>
    <row r="1020" spans="2:2" x14ac:dyDescent="0.25">
      <c r="B1020" s="2" t="e">
        <f>Tabla1[[#This Row],[Nombre insumo]]</f>
        <v>#VALUE!</v>
      </c>
    </row>
    <row r="1021" spans="2:2" x14ac:dyDescent="0.25">
      <c r="B1021" s="2" t="e">
        <f>Tabla1[[#This Row],[Nombre insumo]]</f>
        <v>#VALUE!</v>
      </c>
    </row>
    <row r="1022" spans="2:2" x14ac:dyDescent="0.25">
      <c r="B1022" s="2" t="e">
        <f>Tabla1[[#This Row],[Nombre insumo]]</f>
        <v>#VALUE!</v>
      </c>
    </row>
    <row r="1023" spans="2:2" x14ac:dyDescent="0.25">
      <c r="B1023" s="2" t="e">
        <f>Tabla1[[#This Row],[Nombre insumo]]</f>
        <v>#VALUE!</v>
      </c>
    </row>
    <row r="1024" spans="2:2" x14ac:dyDescent="0.25">
      <c r="B1024" s="2" t="e">
        <f>Tabla1[[#This Row],[Nombre insumo]]</f>
        <v>#VALUE!</v>
      </c>
    </row>
    <row r="1025" spans="2:2" x14ac:dyDescent="0.25">
      <c r="B1025" s="2" t="e">
        <f>Tabla1[[#This Row],[Nombre insumo]]</f>
        <v>#VALUE!</v>
      </c>
    </row>
    <row r="1026" spans="2:2" x14ac:dyDescent="0.25">
      <c r="B1026" s="2" t="e">
        <f>Tabla1[[#This Row],[Nombre insumo]]</f>
        <v>#VALUE!</v>
      </c>
    </row>
    <row r="1027" spans="2:2" x14ac:dyDescent="0.25">
      <c r="B1027" s="2" t="e">
        <f>Tabla1[[#This Row],[Nombre insumo]]</f>
        <v>#VALUE!</v>
      </c>
    </row>
    <row r="1028" spans="2:2" x14ac:dyDescent="0.25">
      <c r="B1028" s="2" t="e">
        <f>Tabla1[[#This Row],[Nombre insumo]]</f>
        <v>#VALUE!</v>
      </c>
    </row>
    <row r="1029" spans="2:2" x14ac:dyDescent="0.25">
      <c r="B1029" s="2" t="e">
        <f>Tabla1[[#This Row],[Nombre insumo]]</f>
        <v>#VALUE!</v>
      </c>
    </row>
    <row r="1030" spans="2:2" x14ac:dyDescent="0.25">
      <c r="B1030" s="2" t="e">
        <f>Tabla1[[#This Row],[Nombre insumo]]</f>
        <v>#VALUE!</v>
      </c>
    </row>
    <row r="1031" spans="2:2" x14ac:dyDescent="0.25">
      <c r="B1031" s="2" t="e">
        <f>Tabla1[[#This Row],[Nombre insumo]]</f>
        <v>#VALUE!</v>
      </c>
    </row>
    <row r="1032" spans="2:2" x14ac:dyDescent="0.25">
      <c r="B1032" s="2" t="e">
        <f>Tabla1[[#This Row],[Nombre insumo]]</f>
        <v>#VALUE!</v>
      </c>
    </row>
    <row r="1033" spans="2:2" x14ac:dyDescent="0.25">
      <c r="B1033" s="2" t="e">
        <f>Tabla1[[#This Row],[Nombre insumo]]</f>
        <v>#VALUE!</v>
      </c>
    </row>
    <row r="1034" spans="2:2" x14ac:dyDescent="0.25">
      <c r="B1034" s="2" t="e">
        <f>Tabla1[[#This Row],[Nombre insumo]]</f>
        <v>#VALUE!</v>
      </c>
    </row>
    <row r="1035" spans="2:2" x14ac:dyDescent="0.25">
      <c r="B1035" s="2" t="e">
        <f>Tabla1[[#This Row],[Nombre insumo]]</f>
        <v>#VALUE!</v>
      </c>
    </row>
    <row r="1036" spans="2:2" x14ac:dyDescent="0.25">
      <c r="B1036" s="2" t="e">
        <f>Tabla1[[#This Row],[Nombre insumo]]</f>
        <v>#VALUE!</v>
      </c>
    </row>
    <row r="1037" spans="2:2" x14ac:dyDescent="0.25">
      <c r="B1037" s="2" t="e">
        <f>Tabla1[[#This Row],[Nombre insumo]]</f>
        <v>#VALUE!</v>
      </c>
    </row>
    <row r="1038" spans="2:2" x14ac:dyDescent="0.25">
      <c r="B1038" s="2" t="e">
        <f>Tabla1[[#This Row],[Nombre insumo]]</f>
        <v>#VALUE!</v>
      </c>
    </row>
    <row r="1039" spans="2:2" x14ac:dyDescent="0.25">
      <c r="B1039" s="2" t="e">
        <f>Tabla1[[#This Row],[Nombre insumo]]</f>
        <v>#VALUE!</v>
      </c>
    </row>
    <row r="1040" spans="2:2" x14ac:dyDescent="0.25">
      <c r="B1040" s="2" t="e">
        <f>Tabla1[[#This Row],[Nombre insumo]]</f>
        <v>#VALUE!</v>
      </c>
    </row>
    <row r="1041" spans="2:2" x14ac:dyDescent="0.25">
      <c r="B1041" s="2" t="e">
        <f>Tabla1[[#This Row],[Nombre insumo]]</f>
        <v>#VALUE!</v>
      </c>
    </row>
    <row r="1042" spans="2:2" x14ac:dyDescent="0.25">
      <c r="B1042" s="2" t="e">
        <f>Tabla1[[#This Row],[Nombre insumo]]</f>
        <v>#VALUE!</v>
      </c>
    </row>
    <row r="1043" spans="2:2" x14ac:dyDescent="0.25">
      <c r="B1043" s="2" t="e">
        <f>Tabla1[[#This Row],[Nombre insumo]]</f>
        <v>#VALUE!</v>
      </c>
    </row>
    <row r="1044" spans="2:2" x14ac:dyDescent="0.25">
      <c r="B1044" s="2" t="e">
        <f>Tabla1[[#This Row],[Nombre insumo]]</f>
        <v>#VALUE!</v>
      </c>
    </row>
    <row r="1045" spans="2:2" x14ac:dyDescent="0.25">
      <c r="B1045" s="2" t="e">
        <f>Tabla1[[#This Row],[Nombre insumo]]</f>
        <v>#VALUE!</v>
      </c>
    </row>
    <row r="1046" spans="2:2" x14ac:dyDescent="0.25">
      <c r="B1046" s="2" t="e">
        <f>Tabla1[[#This Row],[Nombre insumo]]</f>
        <v>#VALUE!</v>
      </c>
    </row>
    <row r="1047" spans="2:2" x14ac:dyDescent="0.25">
      <c r="B1047" s="2" t="e">
        <f>Tabla1[[#This Row],[Nombre insumo]]</f>
        <v>#VALUE!</v>
      </c>
    </row>
    <row r="1048" spans="2:2" x14ac:dyDescent="0.25">
      <c r="B1048" s="2" t="e">
        <f>Tabla1[[#This Row],[Nombre insumo]]</f>
        <v>#VALUE!</v>
      </c>
    </row>
    <row r="1049" spans="2:2" x14ac:dyDescent="0.25">
      <c r="B1049" s="2" t="e">
        <f>Tabla1[[#This Row],[Nombre insumo]]</f>
        <v>#VALUE!</v>
      </c>
    </row>
    <row r="1050" spans="2:2" x14ac:dyDescent="0.25">
      <c r="B1050" s="2" t="e">
        <f>Tabla1[[#This Row],[Nombre insumo]]</f>
        <v>#VALUE!</v>
      </c>
    </row>
    <row r="1051" spans="2:2" x14ac:dyDescent="0.25">
      <c r="B1051" s="2" t="e">
        <f>Tabla1[[#This Row],[Nombre insumo]]</f>
        <v>#VALUE!</v>
      </c>
    </row>
    <row r="1052" spans="2:2" x14ac:dyDescent="0.25">
      <c r="B1052" s="2" t="e">
        <f>Tabla1[[#This Row],[Nombre insumo]]</f>
        <v>#VALUE!</v>
      </c>
    </row>
    <row r="1053" spans="2:2" x14ac:dyDescent="0.25">
      <c r="B1053" s="2" t="e">
        <f>Tabla1[[#This Row],[Nombre insumo]]</f>
        <v>#VALUE!</v>
      </c>
    </row>
    <row r="1054" spans="2:2" x14ac:dyDescent="0.25">
      <c r="B1054" s="2" t="e">
        <f>Tabla1[[#This Row],[Nombre insumo]]</f>
        <v>#VALUE!</v>
      </c>
    </row>
    <row r="1055" spans="2:2" x14ac:dyDescent="0.25">
      <c r="B1055" s="2" t="e">
        <f>Tabla1[[#This Row],[Nombre insumo]]</f>
        <v>#VALUE!</v>
      </c>
    </row>
    <row r="1056" spans="2:2" x14ac:dyDescent="0.25">
      <c r="B1056" s="2" t="e">
        <f>Tabla1[[#This Row],[Nombre insumo]]</f>
        <v>#VALUE!</v>
      </c>
    </row>
    <row r="1057" spans="2:2" x14ac:dyDescent="0.25">
      <c r="B1057" s="2" t="e">
        <f>Tabla1[[#This Row],[Nombre insumo]]</f>
        <v>#VALUE!</v>
      </c>
    </row>
    <row r="1058" spans="2:2" x14ac:dyDescent="0.25">
      <c r="B1058" s="2" t="e">
        <f>Tabla1[[#This Row],[Nombre insumo]]</f>
        <v>#VALUE!</v>
      </c>
    </row>
    <row r="1059" spans="2:2" x14ac:dyDescent="0.25">
      <c r="B1059" s="2" t="e">
        <f>Tabla1[[#This Row],[Nombre insumo]]</f>
        <v>#VALUE!</v>
      </c>
    </row>
    <row r="1060" spans="2:2" x14ac:dyDescent="0.25">
      <c r="B1060" s="2" t="e">
        <f>Tabla1[[#This Row],[Nombre insumo]]</f>
        <v>#VALUE!</v>
      </c>
    </row>
    <row r="1061" spans="2:2" x14ac:dyDescent="0.25">
      <c r="B1061" s="2" t="e">
        <f>Tabla1[[#This Row],[Nombre insumo]]</f>
        <v>#VALUE!</v>
      </c>
    </row>
    <row r="1062" spans="2:2" x14ac:dyDescent="0.25">
      <c r="B1062" s="2" t="e">
        <f>Tabla1[[#This Row],[Nombre insumo]]</f>
        <v>#VALUE!</v>
      </c>
    </row>
    <row r="1063" spans="2:2" x14ac:dyDescent="0.25">
      <c r="B1063" s="2" t="e">
        <f>Tabla1[[#This Row],[Nombre insumo]]</f>
        <v>#VALUE!</v>
      </c>
    </row>
    <row r="1064" spans="2:2" x14ac:dyDescent="0.25">
      <c r="B1064" s="2" t="e">
        <f>Tabla1[[#This Row],[Nombre insumo]]</f>
        <v>#VALUE!</v>
      </c>
    </row>
    <row r="1065" spans="2:2" x14ac:dyDescent="0.25">
      <c r="B1065" s="2" t="e">
        <f>Tabla1[[#This Row],[Nombre insumo]]</f>
        <v>#VALUE!</v>
      </c>
    </row>
    <row r="1066" spans="2:2" x14ac:dyDescent="0.25">
      <c r="B1066" s="2" t="e">
        <f>Tabla1[[#This Row],[Nombre insumo]]</f>
        <v>#VALUE!</v>
      </c>
    </row>
    <row r="1067" spans="2:2" x14ac:dyDescent="0.25">
      <c r="B1067" s="2" t="e">
        <f>Tabla1[[#This Row],[Nombre insumo]]</f>
        <v>#VALUE!</v>
      </c>
    </row>
    <row r="1068" spans="2:2" x14ac:dyDescent="0.25">
      <c r="B1068" s="2" t="e">
        <f>Tabla1[[#This Row],[Nombre insumo]]</f>
        <v>#VALUE!</v>
      </c>
    </row>
    <row r="1069" spans="2:2" x14ac:dyDescent="0.25">
      <c r="B1069" s="2" t="e">
        <f>Tabla1[[#This Row],[Nombre insumo]]</f>
        <v>#VALUE!</v>
      </c>
    </row>
    <row r="1070" spans="2:2" x14ac:dyDescent="0.25">
      <c r="B1070" s="2" t="e">
        <f>Tabla1[[#This Row],[Nombre insumo]]</f>
        <v>#VALUE!</v>
      </c>
    </row>
    <row r="1071" spans="2:2" x14ac:dyDescent="0.25">
      <c r="B1071" s="2" t="e">
        <f>Tabla1[[#This Row],[Nombre insumo]]</f>
        <v>#VALUE!</v>
      </c>
    </row>
    <row r="1072" spans="2:2" x14ac:dyDescent="0.25">
      <c r="B1072" s="2" t="e">
        <f>Tabla1[[#This Row],[Nombre insumo]]</f>
        <v>#VALUE!</v>
      </c>
    </row>
    <row r="1073" spans="2:2" x14ac:dyDescent="0.25">
      <c r="B1073" s="2" t="e">
        <f>Tabla1[[#This Row],[Nombre insumo]]</f>
        <v>#VALUE!</v>
      </c>
    </row>
    <row r="1074" spans="2:2" x14ac:dyDescent="0.25">
      <c r="B1074" s="2" t="e">
        <f>Tabla1[[#This Row],[Nombre insumo]]</f>
        <v>#VALUE!</v>
      </c>
    </row>
    <row r="1075" spans="2:2" x14ac:dyDescent="0.25">
      <c r="B1075" s="2" t="e">
        <f>Tabla1[[#This Row],[Nombre insumo]]</f>
        <v>#VALUE!</v>
      </c>
    </row>
    <row r="1076" spans="2:2" x14ac:dyDescent="0.25">
      <c r="B1076" s="2" t="e">
        <f>Tabla1[[#This Row],[Nombre insumo]]</f>
        <v>#VALUE!</v>
      </c>
    </row>
    <row r="1077" spans="2:2" x14ac:dyDescent="0.25">
      <c r="B1077" s="2" t="e">
        <f>Tabla1[[#This Row],[Nombre insumo]]</f>
        <v>#VALUE!</v>
      </c>
    </row>
    <row r="1078" spans="2:2" x14ac:dyDescent="0.25">
      <c r="B1078" s="2" t="e">
        <f>Tabla1[[#This Row],[Nombre insumo]]</f>
        <v>#VALUE!</v>
      </c>
    </row>
    <row r="1079" spans="2:2" x14ac:dyDescent="0.25">
      <c r="B1079" s="2" t="e">
        <f>Tabla1[[#This Row],[Nombre insumo]]</f>
        <v>#VALUE!</v>
      </c>
    </row>
    <row r="1080" spans="2:2" x14ac:dyDescent="0.25">
      <c r="B1080" s="2" t="e">
        <f>Tabla1[[#This Row],[Nombre insumo]]</f>
        <v>#VALUE!</v>
      </c>
    </row>
    <row r="1081" spans="2:2" x14ac:dyDescent="0.25">
      <c r="B1081" s="2" t="e">
        <f>Tabla1[[#This Row],[Nombre insumo]]</f>
        <v>#VALUE!</v>
      </c>
    </row>
    <row r="1082" spans="2:2" x14ac:dyDescent="0.25">
      <c r="B1082" s="2" t="e">
        <f>Tabla1[[#This Row],[Nombre insumo]]</f>
        <v>#VALUE!</v>
      </c>
    </row>
    <row r="1083" spans="2:2" x14ac:dyDescent="0.25">
      <c r="B1083" s="2" t="e">
        <f>Tabla1[[#This Row],[Nombre insumo]]</f>
        <v>#VALUE!</v>
      </c>
    </row>
    <row r="1084" spans="2:2" x14ac:dyDescent="0.25">
      <c r="B1084" s="2" t="e">
        <f>Tabla1[[#This Row],[Nombre insumo]]</f>
        <v>#VALUE!</v>
      </c>
    </row>
    <row r="1085" spans="2:2" x14ac:dyDescent="0.25">
      <c r="B1085" s="2" t="e">
        <f>Tabla1[[#This Row],[Nombre insumo]]</f>
        <v>#VALUE!</v>
      </c>
    </row>
    <row r="1086" spans="2:2" x14ac:dyDescent="0.25">
      <c r="B1086" s="2" t="e">
        <f>Tabla1[[#This Row],[Nombre insumo]]</f>
        <v>#VALUE!</v>
      </c>
    </row>
    <row r="1087" spans="2:2" x14ac:dyDescent="0.25">
      <c r="B1087" s="2" t="e">
        <f>Tabla1[[#This Row],[Nombre insumo]]</f>
        <v>#VALUE!</v>
      </c>
    </row>
    <row r="1088" spans="2:2" x14ac:dyDescent="0.25">
      <c r="B1088" s="2" t="e">
        <f>Tabla1[[#This Row],[Nombre insumo]]</f>
        <v>#VALUE!</v>
      </c>
    </row>
    <row r="1089" spans="2:2" x14ac:dyDescent="0.25">
      <c r="B1089" s="2" t="e">
        <f>Tabla1[[#This Row],[Nombre insumo]]</f>
        <v>#VALUE!</v>
      </c>
    </row>
    <row r="1090" spans="2:2" x14ac:dyDescent="0.25">
      <c r="B1090" s="2" t="e">
        <f>Tabla1[[#This Row],[Nombre insumo]]</f>
        <v>#VALUE!</v>
      </c>
    </row>
    <row r="1091" spans="2:2" x14ac:dyDescent="0.25">
      <c r="B1091" s="2" t="e">
        <f>Tabla1[[#This Row],[Nombre insumo]]</f>
        <v>#VALUE!</v>
      </c>
    </row>
    <row r="1092" spans="2:2" x14ac:dyDescent="0.25">
      <c r="B1092" s="2" t="e">
        <f>Tabla1[[#This Row],[Nombre insumo]]</f>
        <v>#VALUE!</v>
      </c>
    </row>
    <row r="1093" spans="2:2" x14ac:dyDescent="0.25">
      <c r="B1093" s="2" t="e">
        <f>Tabla1[[#This Row],[Nombre insumo]]</f>
        <v>#VALUE!</v>
      </c>
    </row>
    <row r="1094" spans="2:2" x14ac:dyDescent="0.25">
      <c r="B1094" s="2" t="e">
        <f>Tabla1[[#This Row],[Nombre insumo]]</f>
        <v>#VALUE!</v>
      </c>
    </row>
    <row r="1095" spans="2:2" x14ac:dyDescent="0.25">
      <c r="B1095" s="2" t="e">
        <f>Tabla1[[#This Row],[Nombre insumo]]</f>
        <v>#VALUE!</v>
      </c>
    </row>
    <row r="1096" spans="2:2" x14ac:dyDescent="0.25">
      <c r="B1096" s="2" t="e">
        <f>Tabla1[[#This Row],[Nombre insumo]]</f>
        <v>#VALUE!</v>
      </c>
    </row>
    <row r="1097" spans="2:2" x14ac:dyDescent="0.25">
      <c r="B1097" s="2" t="e">
        <f>Tabla1[[#This Row],[Nombre insumo]]</f>
        <v>#VALUE!</v>
      </c>
    </row>
    <row r="1098" spans="2:2" x14ac:dyDescent="0.25">
      <c r="B1098" s="2" t="e">
        <f>Tabla1[[#This Row],[Nombre insumo]]</f>
        <v>#VALUE!</v>
      </c>
    </row>
    <row r="1099" spans="2:2" x14ac:dyDescent="0.25">
      <c r="B1099" s="2" t="e">
        <f>Tabla1[[#This Row],[Nombre insumo]]</f>
        <v>#VALUE!</v>
      </c>
    </row>
    <row r="1100" spans="2:2" x14ac:dyDescent="0.25">
      <c r="B1100" s="2" t="e">
        <f>Tabla1[[#This Row],[Nombre insumo]]</f>
        <v>#VALUE!</v>
      </c>
    </row>
    <row r="1101" spans="2:2" x14ac:dyDescent="0.25">
      <c r="B1101" s="2" t="e">
        <f>Tabla1[[#This Row],[Nombre insumo]]</f>
        <v>#VALUE!</v>
      </c>
    </row>
    <row r="1102" spans="2:2" x14ac:dyDescent="0.25">
      <c r="B1102" s="2" t="e">
        <f>Tabla1[[#This Row],[Nombre insumo]]</f>
        <v>#VALUE!</v>
      </c>
    </row>
    <row r="1103" spans="2:2" x14ac:dyDescent="0.25">
      <c r="B1103" s="2" t="e">
        <f>Tabla1[[#This Row],[Nombre insumo]]</f>
        <v>#VALUE!</v>
      </c>
    </row>
    <row r="1104" spans="2:2" x14ac:dyDescent="0.25">
      <c r="B1104" s="2" t="e">
        <f>Tabla1[[#This Row],[Nombre insumo]]</f>
        <v>#VALUE!</v>
      </c>
    </row>
    <row r="1105" spans="2:2" x14ac:dyDescent="0.25">
      <c r="B1105" s="2" t="e">
        <f>Tabla1[[#This Row],[Nombre insumo]]</f>
        <v>#VALUE!</v>
      </c>
    </row>
    <row r="1106" spans="2:2" x14ac:dyDescent="0.25">
      <c r="B1106" s="2" t="e">
        <f>Tabla1[[#This Row],[Nombre insumo]]</f>
        <v>#VALUE!</v>
      </c>
    </row>
    <row r="1107" spans="2:2" x14ac:dyDescent="0.25">
      <c r="B1107" s="2" t="e">
        <f>Tabla1[[#This Row],[Nombre insumo]]</f>
        <v>#VALUE!</v>
      </c>
    </row>
    <row r="1108" spans="2:2" x14ac:dyDescent="0.25">
      <c r="B1108" s="2" t="e">
        <f>Tabla1[[#This Row],[Nombre insumo]]</f>
        <v>#VALUE!</v>
      </c>
    </row>
    <row r="1109" spans="2:2" x14ac:dyDescent="0.25">
      <c r="B1109" s="2" t="e">
        <f>Tabla1[[#This Row],[Nombre insumo]]</f>
        <v>#VALUE!</v>
      </c>
    </row>
    <row r="1110" spans="2:2" x14ac:dyDescent="0.25">
      <c r="B1110" s="2" t="e">
        <f>Tabla1[[#This Row],[Nombre insumo]]</f>
        <v>#VALUE!</v>
      </c>
    </row>
    <row r="1111" spans="2:2" x14ac:dyDescent="0.25">
      <c r="B1111" s="2" t="e">
        <f>Tabla1[[#This Row],[Nombre insumo]]</f>
        <v>#VALUE!</v>
      </c>
    </row>
    <row r="1112" spans="2:2" x14ac:dyDescent="0.25">
      <c r="B1112" s="2" t="e">
        <f>Tabla1[[#This Row],[Nombre insumo]]</f>
        <v>#VALUE!</v>
      </c>
    </row>
    <row r="1113" spans="2:2" x14ac:dyDescent="0.25">
      <c r="B1113" s="2" t="e">
        <f>Tabla1[[#This Row],[Nombre insumo]]</f>
        <v>#VALUE!</v>
      </c>
    </row>
    <row r="1114" spans="2:2" x14ac:dyDescent="0.25">
      <c r="B1114" s="2" t="e">
        <f>Tabla1[[#This Row],[Nombre insumo]]</f>
        <v>#VALUE!</v>
      </c>
    </row>
    <row r="1115" spans="2:2" x14ac:dyDescent="0.25">
      <c r="B1115" s="2" t="e">
        <f>Tabla1[[#This Row],[Nombre insumo]]</f>
        <v>#VALUE!</v>
      </c>
    </row>
    <row r="1116" spans="2:2" x14ac:dyDescent="0.25">
      <c r="B1116" s="2" t="e">
        <f>Tabla1[[#This Row],[Nombre insumo]]</f>
        <v>#VALUE!</v>
      </c>
    </row>
    <row r="1117" spans="2:2" x14ac:dyDescent="0.25">
      <c r="B1117" s="2" t="e">
        <f>Tabla1[[#This Row],[Nombre insumo]]</f>
        <v>#VALUE!</v>
      </c>
    </row>
    <row r="1118" spans="2:2" x14ac:dyDescent="0.25">
      <c r="B1118" s="2" t="e">
        <f>Tabla1[[#This Row],[Nombre insumo]]</f>
        <v>#VALUE!</v>
      </c>
    </row>
    <row r="1119" spans="2:2" x14ac:dyDescent="0.25">
      <c r="B1119" s="2" t="e">
        <f>Tabla1[[#This Row],[Nombre insumo]]</f>
        <v>#VALUE!</v>
      </c>
    </row>
    <row r="1120" spans="2:2" x14ac:dyDescent="0.25">
      <c r="B1120" s="2" t="e">
        <f>Tabla1[[#This Row],[Nombre insumo]]</f>
        <v>#VALUE!</v>
      </c>
    </row>
    <row r="1121" spans="2:2" x14ac:dyDescent="0.25">
      <c r="B1121" s="2" t="e">
        <f>Tabla1[[#This Row],[Nombre insumo]]</f>
        <v>#VALUE!</v>
      </c>
    </row>
    <row r="1122" spans="2:2" x14ac:dyDescent="0.25">
      <c r="B1122" s="2" t="e">
        <f>Tabla1[[#This Row],[Nombre insumo]]</f>
        <v>#VALUE!</v>
      </c>
    </row>
    <row r="1123" spans="2:2" x14ac:dyDescent="0.25">
      <c r="B1123" s="2" t="e">
        <f>Tabla1[[#This Row],[Nombre insumo]]</f>
        <v>#VALUE!</v>
      </c>
    </row>
    <row r="1124" spans="2:2" x14ac:dyDescent="0.25">
      <c r="B1124" s="2" t="e">
        <f>Tabla1[[#This Row],[Nombre insumo]]</f>
        <v>#VALUE!</v>
      </c>
    </row>
    <row r="1125" spans="2:2" x14ac:dyDescent="0.25">
      <c r="B1125" s="2" t="e">
        <f>Tabla1[[#This Row],[Nombre insumo]]</f>
        <v>#VALUE!</v>
      </c>
    </row>
    <row r="1126" spans="2:2" x14ac:dyDescent="0.25">
      <c r="B1126" s="2" t="e">
        <f>Tabla1[[#This Row],[Nombre insumo]]</f>
        <v>#VALUE!</v>
      </c>
    </row>
    <row r="1127" spans="2:2" x14ac:dyDescent="0.25">
      <c r="B1127" s="2" t="e">
        <f>Tabla1[[#This Row],[Nombre insumo]]</f>
        <v>#VALUE!</v>
      </c>
    </row>
    <row r="1128" spans="2:2" x14ac:dyDescent="0.25">
      <c r="B1128" s="2" t="e">
        <f>Tabla1[[#This Row],[Nombre insumo]]</f>
        <v>#VALUE!</v>
      </c>
    </row>
    <row r="1129" spans="2:2" x14ac:dyDescent="0.25">
      <c r="B1129" s="2" t="e">
        <f>Tabla1[[#This Row],[Nombre insumo]]</f>
        <v>#VALUE!</v>
      </c>
    </row>
    <row r="1130" spans="2:2" x14ac:dyDescent="0.25">
      <c r="B1130" s="2" t="e">
        <f>Tabla1[[#This Row],[Nombre insumo]]</f>
        <v>#VALUE!</v>
      </c>
    </row>
    <row r="1131" spans="2:2" x14ac:dyDescent="0.25">
      <c r="B1131" s="2" t="e">
        <f>Tabla1[[#This Row],[Nombre insumo]]</f>
        <v>#VALUE!</v>
      </c>
    </row>
    <row r="1132" spans="2:2" x14ac:dyDescent="0.25">
      <c r="B1132" s="2" t="e">
        <f>Tabla1[[#This Row],[Nombre insumo]]</f>
        <v>#VALUE!</v>
      </c>
    </row>
    <row r="1133" spans="2:2" x14ac:dyDescent="0.25">
      <c r="B1133" s="2" t="e">
        <f>Tabla1[[#This Row],[Nombre insumo]]</f>
        <v>#VALUE!</v>
      </c>
    </row>
    <row r="1134" spans="2:2" x14ac:dyDescent="0.25">
      <c r="B1134" s="2" t="e">
        <f>Tabla1[[#This Row],[Nombre insumo]]</f>
        <v>#VALUE!</v>
      </c>
    </row>
    <row r="1135" spans="2:2" x14ac:dyDescent="0.25">
      <c r="B1135" s="2" t="e">
        <f>Tabla1[[#This Row],[Nombre insumo]]</f>
        <v>#VALUE!</v>
      </c>
    </row>
    <row r="1136" spans="2:2" x14ac:dyDescent="0.25">
      <c r="B1136" s="2" t="e">
        <f>Tabla1[[#This Row],[Nombre insumo]]</f>
        <v>#VALUE!</v>
      </c>
    </row>
    <row r="1137" spans="2:2" x14ac:dyDescent="0.25">
      <c r="B1137" s="2" t="e">
        <f>Tabla1[[#This Row],[Nombre insumo]]</f>
        <v>#VALUE!</v>
      </c>
    </row>
    <row r="1138" spans="2:2" x14ac:dyDescent="0.25">
      <c r="B1138" s="2" t="e">
        <f>Tabla1[[#This Row],[Nombre insumo]]</f>
        <v>#VALUE!</v>
      </c>
    </row>
    <row r="1139" spans="2:2" x14ac:dyDescent="0.25">
      <c r="B1139" s="2" t="e">
        <f>Tabla1[[#This Row],[Nombre insumo]]</f>
        <v>#VALUE!</v>
      </c>
    </row>
    <row r="1140" spans="2:2" x14ac:dyDescent="0.25">
      <c r="B1140" s="2" t="e">
        <f>Tabla1[[#This Row],[Nombre insumo]]</f>
        <v>#VALUE!</v>
      </c>
    </row>
    <row r="1141" spans="2:2" x14ac:dyDescent="0.25">
      <c r="B1141" s="2" t="e">
        <f>Tabla1[[#This Row],[Nombre insumo]]</f>
        <v>#VALUE!</v>
      </c>
    </row>
    <row r="1142" spans="2:2" x14ac:dyDescent="0.25">
      <c r="B1142" s="2" t="e">
        <f>Tabla1[[#This Row],[Nombre insumo]]</f>
        <v>#VALUE!</v>
      </c>
    </row>
    <row r="1143" spans="2:2" x14ac:dyDescent="0.25">
      <c r="B1143" s="2" t="e">
        <f>Tabla1[[#This Row],[Nombre insumo]]</f>
        <v>#VALUE!</v>
      </c>
    </row>
    <row r="1144" spans="2:2" x14ac:dyDescent="0.25">
      <c r="B1144" s="2" t="e">
        <f>Tabla1[[#This Row],[Nombre insumo]]</f>
        <v>#VALUE!</v>
      </c>
    </row>
    <row r="1145" spans="2:2" x14ac:dyDescent="0.25">
      <c r="B1145" s="2" t="e">
        <f>Tabla1[[#This Row],[Nombre insumo]]</f>
        <v>#VALUE!</v>
      </c>
    </row>
    <row r="1146" spans="2:2" x14ac:dyDescent="0.25">
      <c r="B1146" s="2" t="e">
        <f>Tabla1[[#This Row],[Nombre insumo]]</f>
        <v>#VALUE!</v>
      </c>
    </row>
    <row r="1147" spans="2:2" x14ac:dyDescent="0.25">
      <c r="B1147" s="2" t="e">
        <f>Tabla1[[#This Row],[Nombre insumo]]</f>
        <v>#VALUE!</v>
      </c>
    </row>
    <row r="1148" spans="2:2" x14ac:dyDescent="0.25">
      <c r="B1148" s="2" t="e">
        <f>Tabla1[[#This Row],[Nombre insumo]]</f>
        <v>#VALUE!</v>
      </c>
    </row>
    <row r="1149" spans="2:2" x14ac:dyDescent="0.25">
      <c r="B1149" s="2" t="e">
        <f>Tabla1[[#This Row],[Nombre insumo]]</f>
        <v>#VALUE!</v>
      </c>
    </row>
    <row r="1150" spans="2:2" x14ac:dyDescent="0.25">
      <c r="B1150" s="2" t="e">
        <f>Tabla1[[#This Row],[Nombre insumo]]</f>
        <v>#VALUE!</v>
      </c>
    </row>
    <row r="1151" spans="2:2" x14ac:dyDescent="0.25">
      <c r="B1151" s="2" t="e">
        <f>Tabla1[[#This Row],[Nombre insumo]]</f>
        <v>#VALUE!</v>
      </c>
    </row>
    <row r="1152" spans="2:2" x14ac:dyDescent="0.25">
      <c r="B1152" s="2" t="e">
        <f>Tabla1[[#This Row],[Nombre insumo]]</f>
        <v>#VALUE!</v>
      </c>
    </row>
    <row r="1153" spans="2:2" x14ac:dyDescent="0.25">
      <c r="B1153" s="2" t="e">
        <f>Tabla1[[#This Row],[Nombre insumo]]</f>
        <v>#VALUE!</v>
      </c>
    </row>
    <row r="1154" spans="2:2" x14ac:dyDescent="0.25">
      <c r="B1154" s="2" t="e">
        <f>Tabla1[[#This Row],[Nombre insumo]]</f>
        <v>#VALUE!</v>
      </c>
    </row>
    <row r="1155" spans="2:2" x14ac:dyDescent="0.25">
      <c r="B1155" s="2" t="e">
        <f>Tabla1[[#This Row],[Nombre insumo]]</f>
        <v>#VALUE!</v>
      </c>
    </row>
    <row r="1156" spans="2:2" x14ac:dyDescent="0.25">
      <c r="B1156" s="2" t="e">
        <f>Tabla1[[#This Row],[Nombre insumo]]</f>
        <v>#VALUE!</v>
      </c>
    </row>
    <row r="1157" spans="2:2" x14ac:dyDescent="0.25">
      <c r="B1157" s="2" t="e">
        <f>Tabla1[[#This Row],[Nombre insumo]]</f>
        <v>#VALUE!</v>
      </c>
    </row>
    <row r="1158" spans="2:2" x14ac:dyDescent="0.25">
      <c r="B1158" s="2" t="e">
        <f>Tabla1[[#This Row],[Nombre insumo]]</f>
        <v>#VALUE!</v>
      </c>
    </row>
    <row r="1159" spans="2:2" x14ac:dyDescent="0.25">
      <c r="B1159" s="2" t="e">
        <f>Tabla1[[#This Row],[Nombre insumo]]</f>
        <v>#VALUE!</v>
      </c>
    </row>
    <row r="1160" spans="2:2" x14ac:dyDescent="0.25">
      <c r="B1160" s="2" t="e">
        <f>Tabla1[[#This Row],[Nombre insumo]]</f>
        <v>#VALUE!</v>
      </c>
    </row>
    <row r="1161" spans="2:2" x14ac:dyDescent="0.25">
      <c r="B1161" s="2" t="e">
        <f>Tabla1[[#This Row],[Nombre insumo]]</f>
        <v>#VALUE!</v>
      </c>
    </row>
    <row r="1162" spans="2:2" x14ac:dyDescent="0.25">
      <c r="B1162" s="2" t="e">
        <f>Tabla1[[#This Row],[Nombre insumo]]</f>
        <v>#VALUE!</v>
      </c>
    </row>
    <row r="1163" spans="2:2" x14ac:dyDescent="0.25">
      <c r="B1163" s="2" t="e">
        <f>Tabla1[[#This Row],[Nombre insumo]]</f>
        <v>#VALUE!</v>
      </c>
    </row>
    <row r="1164" spans="2:2" x14ac:dyDescent="0.25">
      <c r="B1164" s="2" t="e">
        <f>Tabla1[[#This Row],[Nombre insumo]]</f>
        <v>#VALUE!</v>
      </c>
    </row>
    <row r="1165" spans="2:2" x14ac:dyDescent="0.25">
      <c r="B1165" s="2" t="e">
        <f>Tabla1[[#This Row],[Nombre insumo]]</f>
        <v>#VALUE!</v>
      </c>
    </row>
    <row r="1166" spans="2:2" x14ac:dyDescent="0.25">
      <c r="B1166" s="2" t="e">
        <f>Tabla1[[#This Row],[Nombre insumo]]</f>
        <v>#VALUE!</v>
      </c>
    </row>
    <row r="1167" spans="2:2" x14ac:dyDescent="0.25">
      <c r="B1167" s="2" t="e">
        <f>Tabla1[[#This Row],[Nombre insumo]]</f>
        <v>#VALUE!</v>
      </c>
    </row>
    <row r="1168" spans="2:2" x14ac:dyDescent="0.25">
      <c r="B1168" s="2" t="e">
        <f>Tabla1[[#This Row],[Nombre insumo]]</f>
        <v>#VALUE!</v>
      </c>
    </row>
    <row r="1169" spans="2:2" x14ac:dyDescent="0.25">
      <c r="B1169" s="2" t="e">
        <f>Tabla1[[#This Row],[Nombre insumo]]</f>
        <v>#VALUE!</v>
      </c>
    </row>
    <row r="1170" spans="2:2" x14ac:dyDescent="0.25">
      <c r="B1170" s="2" t="e">
        <f>Tabla1[[#This Row],[Nombre insumo]]</f>
        <v>#VALUE!</v>
      </c>
    </row>
    <row r="1171" spans="2:2" x14ac:dyDescent="0.25">
      <c r="B1171" s="2" t="e">
        <f>Tabla1[[#This Row],[Nombre insumo]]</f>
        <v>#VALUE!</v>
      </c>
    </row>
    <row r="1172" spans="2:2" x14ac:dyDescent="0.25">
      <c r="B1172" s="2" t="e">
        <f>Tabla1[[#This Row],[Nombre insumo]]</f>
        <v>#VALUE!</v>
      </c>
    </row>
    <row r="1173" spans="2:2" x14ac:dyDescent="0.25">
      <c r="B1173" s="2" t="e">
        <f>Tabla1[[#This Row],[Nombre insumo]]</f>
        <v>#VALUE!</v>
      </c>
    </row>
    <row r="1174" spans="2:2" x14ac:dyDescent="0.25">
      <c r="B1174" s="2" t="e">
        <f>Tabla1[[#This Row],[Nombre insumo]]</f>
        <v>#VALUE!</v>
      </c>
    </row>
    <row r="1175" spans="2:2" x14ac:dyDescent="0.25">
      <c r="B1175" s="2" t="e">
        <f>Tabla1[[#This Row],[Nombre insumo]]</f>
        <v>#VALUE!</v>
      </c>
    </row>
    <row r="1176" spans="2:2" x14ac:dyDescent="0.25">
      <c r="B1176" s="2" t="e">
        <f>Tabla1[[#This Row],[Nombre insumo]]</f>
        <v>#VALUE!</v>
      </c>
    </row>
    <row r="1177" spans="2:2" x14ac:dyDescent="0.25">
      <c r="B1177" s="2" t="e">
        <f>Tabla1[[#This Row],[Nombre insumo]]</f>
        <v>#VALUE!</v>
      </c>
    </row>
    <row r="1178" spans="2:2" x14ac:dyDescent="0.25">
      <c r="B1178" s="2" t="e">
        <f>Tabla1[[#This Row],[Nombre insumo]]</f>
        <v>#VALUE!</v>
      </c>
    </row>
    <row r="1179" spans="2:2" x14ac:dyDescent="0.25">
      <c r="B1179" s="2" t="e">
        <f>Tabla1[[#This Row],[Nombre insumo]]</f>
        <v>#VALUE!</v>
      </c>
    </row>
    <row r="1180" spans="2:2" x14ac:dyDescent="0.25">
      <c r="B1180" s="2" t="e">
        <f>Tabla1[[#This Row],[Nombre insumo]]</f>
        <v>#VALUE!</v>
      </c>
    </row>
    <row r="1181" spans="2:2" x14ac:dyDescent="0.25">
      <c r="B1181" s="2" t="e">
        <f>Tabla1[[#This Row],[Nombre insumo]]</f>
        <v>#VALUE!</v>
      </c>
    </row>
    <row r="1182" spans="2:2" x14ac:dyDescent="0.25">
      <c r="B1182" s="2" t="e">
        <f>Tabla1[[#This Row],[Nombre insumo]]</f>
        <v>#VALUE!</v>
      </c>
    </row>
    <row r="1183" spans="2:2" x14ac:dyDescent="0.25">
      <c r="B1183" s="2" t="e">
        <f>Tabla1[[#This Row],[Nombre insumo]]</f>
        <v>#VALUE!</v>
      </c>
    </row>
    <row r="1184" spans="2:2" x14ac:dyDescent="0.25">
      <c r="B1184" s="2" t="e">
        <f>Tabla1[[#This Row],[Nombre insumo]]</f>
        <v>#VALUE!</v>
      </c>
    </row>
    <row r="1185" spans="2:2" x14ac:dyDescent="0.25">
      <c r="B1185" s="2" t="e">
        <f>Tabla1[[#This Row],[Nombre insumo]]</f>
        <v>#VALUE!</v>
      </c>
    </row>
    <row r="1186" spans="2:2" x14ac:dyDescent="0.25">
      <c r="B1186" s="2" t="e">
        <f>Tabla1[[#This Row],[Nombre insumo]]</f>
        <v>#VALUE!</v>
      </c>
    </row>
    <row r="1187" spans="2:2" x14ac:dyDescent="0.25">
      <c r="B1187" s="2" t="e">
        <f>Tabla1[[#This Row],[Nombre insumo]]</f>
        <v>#VALUE!</v>
      </c>
    </row>
    <row r="1188" spans="2:2" x14ac:dyDescent="0.25">
      <c r="B1188" s="2" t="e">
        <f>Tabla1[[#This Row],[Nombre insumo]]</f>
        <v>#VALUE!</v>
      </c>
    </row>
    <row r="1189" spans="2:2" x14ac:dyDescent="0.25">
      <c r="B1189" s="2" t="e">
        <f>Tabla1[[#This Row],[Nombre insumo]]</f>
        <v>#VALUE!</v>
      </c>
    </row>
    <row r="1190" spans="2:2" x14ac:dyDescent="0.25">
      <c r="B1190" s="2" t="e">
        <f>Tabla1[[#This Row],[Nombre insumo]]</f>
        <v>#VALUE!</v>
      </c>
    </row>
    <row r="1191" spans="2:2" x14ac:dyDescent="0.25">
      <c r="B1191" s="2" t="e">
        <f>Tabla1[[#This Row],[Nombre insumo]]</f>
        <v>#VALUE!</v>
      </c>
    </row>
    <row r="1192" spans="2:2" x14ac:dyDescent="0.25">
      <c r="B1192" s="2" t="e">
        <f>Tabla1[[#This Row],[Nombre insumo]]</f>
        <v>#VALUE!</v>
      </c>
    </row>
    <row r="1193" spans="2:2" x14ac:dyDescent="0.25">
      <c r="B1193" s="2" t="e">
        <f>Tabla1[[#This Row],[Nombre insumo]]</f>
        <v>#VALUE!</v>
      </c>
    </row>
    <row r="1194" spans="2:2" x14ac:dyDescent="0.25">
      <c r="B1194" s="2" t="e">
        <f>Tabla1[[#This Row],[Nombre insumo]]</f>
        <v>#VALUE!</v>
      </c>
    </row>
    <row r="1195" spans="2:2" x14ac:dyDescent="0.25">
      <c r="B1195" s="2" t="e">
        <f>Tabla1[[#This Row],[Nombre insumo]]</f>
        <v>#VALUE!</v>
      </c>
    </row>
    <row r="1196" spans="2:2" x14ac:dyDescent="0.25">
      <c r="B1196" s="2" t="e">
        <f>Tabla1[[#This Row],[Nombre insumo]]</f>
        <v>#VALUE!</v>
      </c>
    </row>
    <row r="1197" spans="2:2" x14ac:dyDescent="0.25">
      <c r="B1197" s="2" t="e">
        <f>Tabla1[[#This Row],[Nombre insumo]]</f>
        <v>#VALUE!</v>
      </c>
    </row>
    <row r="1198" spans="2:2" x14ac:dyDescent="0.25">
      <c r="B1198" s="2" t="e">
        <f>Tabla1[[#This Row],[Nombre insumo]]</f>
        <v>#VALUE!</v>
      </c>
    </row>
    <row r="1199" spans="2:2" x14ac:dyDescent="0.25">
      <c r="B1199" s="2" t="e">
        <f>Tabla1[[#This Row],[Nombre insumo]]</f>
        <v>#VALUE!</v>
      </c>
    </row>
    <row r="1200" spans="2:2" x14ac:dyDescent="0.25">
      <c r="B1200" s="2" t="e">
        <f>Tabla1[[#This Row],[Nombre insumo]]</f>
        <v>#VALUE!</v>
      </c>
    </row>
    <row r="1201" spans="2:2" x14ac:dyDescent="0.25">
      <c r="B1201" s="2" t="e">
        <f>Tabla1[[#This Row],[Nombre insumo]]</f>
        <v>#VALUE!</v>
      </c>
    </row>
    <row r="1202" spans="2:2" x14ac:dyDescent="0.25">
      <c r="B1202" s="2" t="e">
        <f>Tabla1[[#This Row],[Nombre insumo]]</f>
        <v>#VALUE!</v>
      </c>
    </row>
    <row r="1203" spans="2:2" x14ac:dyDescent="0.25">
      <c r="B1203" s="2" t="e">
        <f>Tabla1[[#This Row],[Nombre insumo]]</f>
        <v>#VALUE!</v>
      </c>
    </row>
    <row r="1204" spans="2:2" x14ac:dyDescent="0.25">
      <c r="B1204" s="2" t="e">
        <f>Tabla1[[#This Row],[Nombre insumo]]</f>
        <v>#VALUE!</v>
      </c>
    </row>
    <row r="1205" spans="2:2" x14ac:dyDescent="0.25">
      <c r="B1205" s="2" t="e">
        <f>Tabla1[[#This Row],[Nombre insumo]]</f>
        <v>#VALUE!</v>
      </c>
    </row>
    <row r="1206" spans="2:2" x14ac:dyDescent="0.25">
      <c r="B1206" s="2" t="e">
        <f>Tabla1[[#This Row],[Nombre insumo]]</f>
        <v>#VALUE!</v>
      </c>
    </row>
    <row r="1207" spans="2:2" x14ac:dyDescent="0.25">
      <c r="B1207" s="2" t="e">
        <f>Tabla1[[#This Row],[Nombre insumo]]</f>
        <v>#VALUE!</v>
      </c>
    </row>
    <row r="1208" spans="2:2" x14ac:dyDescent="0.25">
      <c r="B1208" s="2" t="e">
        <f>Tabla1[[#This Row],[Nombre insumo]]</f>
        <v>#VALUE!</v>
      </c>
    </row>
    <row r="1209" spans="2:2" x14ac:dyDescent="0.25">
      <c r="B1209" s="2" t="e">
        <f>Tabla1[[#This Row],[Nombre insumo]]</f>
        <v>#VALUE!</v>
      </c>
    </row>
    <row r="1210" spans="2:2" x14ac:dyDescent="0.25">
      <c r="B1210" s="2" t="e">
        <f>Tabla1[[#This Row],[Nombre insumo]]</f>
        <v>#VALUE!</v>
      </c>
    </row>
    <row r="1211" spans="2:2" x14ac:dyDescent="0.25">
      <c r="B1211" s="2" t="e">
        <f>Tabla1[[#This Row],[Nombre insumo]]</f>
        <v>#VALUE!</v>
      </c>
    </row>
    <row r="1212" spans="2:2" x14ac:dyDescent="0.25">
      <c r="B1212" s="2" t="e">
        <f>Tabla1[[#This Row],[Nombre insumo]]</f>
        <v>#VALUE!</v>
      </c>
    </row>
    <row r="1213" spans="2:2" x14ac:dyDescent="0.25">
      <c r="B1213" s="2" t="e">
        <f>Tabla1[[#This Row],[Nombre insumo]]</f>
        <v>#VALUE!</v>
      </c>
    </row>
    <row r="1214" spans="2:2" x14ac:dyDescent="0.25">
      <c r="B1214" s="2" t="e">
        <f>Tabla1[[#This Row],[Nombre insumo]]</f>
        <v>#VALUE!</v>
      </c>
    </row>
    <row r="1215" spans="2:2" x14ac:dyDescent="0.25">
      <c r="B1215" s="2" t="e">
        <f>Tabla1[[#This Row],[Nombre insumo]]</f>
        <v>#VALUE!</v>
      </c>
    </row>
    <row r="1216" spans="2:2" x14ac:dyDescent="0.25">
      <c r="B1216" s="2" t="e">
        <f>Tabla1[[#This Row],[Nombre insumo]]</f>
        <v>#VALUE!</v>
      </c>
    </row>
    <row r="1217" spans="2:2" x14ac:dyDescent="0.25">
      <c r="B1217" s="2" t="e">
        <f>Tabla1[[#This Row],[Nombre insumo]]</f>
        <v>#VALUE!</v>
      </c>
    </row>
    <row r="1218" spans="2:2" x14ac:dyDescent="0.25">
      <c r="B1218" s="2" t="e">
        <f>Tabla1[[#This Row],[Nombre insumo]]</f>
        <v>#VALUE!</v>
      </c>
    </row>
    <row r="1219" spans="2:2" x14ac:dyDescent="0.25">
      <c r="B1219" s="2" t="e">
        <f>Tabla1[[#This Row],[Nombre insumo]]</f>
        <v>#VALUE!</v>
      </c>
    </row>
    <row r="1220" spans="2:2" x14ac:dyDescent="0.25">
      <c r="B1220" s="2" t="e">
        <f>Tabla1[[#This Row],[Nombre insumo]]</f>
        <v>#VALUE!</v>
      </c>
    </row>
    <row r="1221" spans="2:2" x14ac:dyDescent="0.25">
      <c r="B1221" s="2" t="e">
        <f>Tabla1[[#This Row],[Nombre insumo]]</f>
        <v>#VALUE!</v>
      </c>
    </row>
    <row r="1222" spans="2:2" x14ac:dyDescent="0.25">
      <c r="B1222" s="2" t="e">
        <f>Tabla1[[#This Row],[Nombre insumo]]</f>
        <v>#VALUE!</v>
      </c>
    </row>
    <row r="1223" spans="2:2" x14ac:dyDescent="0.25">
      <c r="B1223" s="2" t="e">
        <f>Tabla1[[#This Row],[Nombre insumo]]</f>
        <v>#VALUE!</v>
      </c>
    </row>
    <row r="1224" spans="2:2" x14ac:dyDescent="0.25">
      <c r="B1224" s="2" t="e">
        <f>Tabla1[[#This Row],[Nombre insumo]]</f>
        <v>#VALUE!</v>
      </c>
    </row>
    <row r="1225" spans="2:2" x14ac:dyDescent="0.25">
      <c r="B1225" s="2" t="e">
        <f>Tabla1[[#This Row],[Nombre insumo]]</f>
        <v>#VALUE!</v>
      </c>
    </row>
    <row r="1226" spans="2:2" x14ac:dyDescent="0.25">
      <c r="B1226" s="2" t="e">
        <f>Tabla1[[#This Row],[Nombre insumo]]</f>
        <v>#VALUE!</v>
      </c>
    </row>
    <row r="1227" spans="2:2" x14ac:dyDescent="0.25">
      <c r="B1227" s="2" t="e">
        <f>Tabla1[[#This Row],[Nombre insumo]]</f>
        <v>#VALUE!</v>
      </c>
    </row>
    <row r="1228" spans="2:2" x14ac:dyDescent="0.25">
      <c r="B1228" s="2" t="e">
        <f>Tabla1[[#This Row],[Nombre insumo]]</f>
        <v>#VALUE!</v>
      </c>
    </row>
    <row r="1229" spans="2:2" x14ac:dyDescent="0.25">
      <c r="B1229" s="2" t="e">
        <f>Tabla1[[#This Row],[Nombre insumo]]</f>
        <v>#VALUE!</v>
      </c>
    </row>
    <row r="1230" spans="2:2" x14ac:dyDescent="0.25">
      <c r="B1230" s="2" t="e">
        <f>Tabla1[[#This Row],[Nombre insumo]]</f>
        <v>#VALUE!</v>
      </c>
    </row>
    <row r="1231" spans="2:2" x14ac:dyDescent="0.25">
      <c r="B1231" s="2" t="e">
        <f>Tabla1[[#This Row],[Nombre insumo]]</f>
        <v>#VALUE!</v>
      </c>
    </row>
    <row r="1232" spans="2:2" x14ac:dyDescent="0.25">
      <c r="B1232" s="2" t="e">
        <f>Tabla1[[#This Row],[Nombre insumo]]</f>
        <v>#VALUE!</v>
      </c>
    </row>
    <row r="1233" spans="2:2" x14ac:dyDescent="0.25">
      <c r="B1233" s="2" t="e">
        <f>Tabla1[[#This Row],[Nombre insumo]]</f>
        <v>#VALUE!</v>
      </c>
    </row>
    <row r="1234" spans="2:2" x14ac:dyDescent="0.25">
      <c r="B1234" s="2" t="e">
        <f>Tabla1[[#This Row],[Nombre insumo]]</f>
        <v>#VALUE!</v>
      </c>
    </row>
    <row r="1235" spans="2:2" x14ac:dyDescent="0.25">
      <c r="B1235" s="2" t="e">
        <f>Tabla1[[#This Row],[Nombre insumo]]</f>
        <v>#VALUE!</v>
      </c>
    </row>
    <row r="1236" spans="2:2" x14ac:dyDescent="0.25">
      <c r="B1236" s="2" t="e">
        <f>Tabla1[[#This Row],[Nombre insumo]]</f>
        <v>#VALUE!</v>
      </c>
    </row>
    <row r="1237" spans="2:2" x14ac:dyDescent="0.25">
      <c r="B1237" s="2" t="e">
        <f>Tabla1[[#This Row],[Nombre insumo]]</f>
        <v>#VALUE!</v>
      </c>
    </row>
    <row r="1238" spans="2:2" x14ac:dyDescent="0.25">
      <c r="B1238" s="2" t="e">
        <f>Tabla1[[#This Row],[Nombre insumo]]</f>
        <v>#VALUE!</v>
      </c>
    </row>
    <row r="1239" spans="2:2" x14ac:dyDescent="0.25">
      <c r="B1239" s="2" t="e">
        <f>Tabla1[[#This Row],[Nombre insumo]]</f>
        <v>#VALUE!</v>
      </c>
    </row>
    <row r="1240" spans="2:2" x14ac:dyDescent="0.25">
      <c r="B1240" s="2" t="e">
        <f>Tabla1[[#This Row],[Nombre insumo]]</f>
        <v>#VALUE!</v>
      </c>
    </row>
    <row r="1241" spans="2:2" x14ac:dyDescent="0.25">
      <c r="B1241" s="2" t="e">
        <f>Tabla1[[#This Row],[Nombre insumo]]</f>
        <v>#VALUE!</v>
      </c>
    </row>
    <row r="1242" spans="2:2" x14ac:dyDescent="0.25">
      <c r="B1242" s="2" t="e">
        <f>Tabla1[[#This Row],[Nombre insumo]]</f>
        <v>#VALUE!</v>
      </c>
    </row>
    <row r="1243" spans="2:2" x14ac:dyDescent="0.25">
      <c r="B1243" s="2" t="e">
        <f>Tabla1[[#This Row],[Nombre insumo]]</f>
        <v>#VALUE!</v>
      </c>
    </row>
    <row r="1244" spans="2:2" x14ac:dyDescent="0.25">
      <c r="B1244" s="2" t="e">
        <f>Tabla1[[#This Row],[Nombre insumo]]</f>
        <v>#VALUE!</v>
      </c>
    </row>
    <row r="1245" spans="2:2" x14ac:dyDescent="0.25">
      <c r="B1245" s="2" t="e">
        <f>Tabla1[[#This Row],[Nombre insumo]]</f>
        <v>#VALUE!</v>
      </c>
    </row>
    <row r="1246" spans="2:2" x14ac:dyDescent="0.25">
      <c r="B1246" s="2" t="e">
        <f>Tabla1[[#This Row],[Nombre insumo]]</f>
        <v>#VALUE!</v>
      </c>
    </row>
    <row r="1247" spans="2:2" x14ac:dyDescent="0.25">
      <c r="B1247" s="2" t="e">
        <f>Tabla1[[#This Row],[Nombre insumo]]</f>
        <v>#VALUE!</v>
      </c>
    </row>
    <row r="1248" spans="2:2" x14ac:dyDescent="0.25">
      <c r="B1248" s="2" t="e">
        <f>Tabla1[[#This Row],[Nombre insumo]]</f>
        <v>#VALUE!</v>
      </c>
    </row>
    <row r="1249" spans="2:2" x14ac:dyDescent="0.25">
      <c r="B1249" s="2" t="e">
        <f>Tabla1[[#This Row],[Nombre insumo]]</f>
        <v>#VALUE!</v>
      </c>
    </row>
    <row r="1250" spans="2:2" x14ac:dyDescent="0.25">
      <c r="B1250" s="2" t="e">
        <f>Tabla1[[#This Row],[Nombre insumo]]</f>
        <v>#VALUE!</v>
      </c>
    </row>
    <row r="1251" spans="2:2" x14ac:dyDescent="0.25">
      <c r="B1251" s="2" t="e">
        <f>Tabla1[[#This Row],[Nombre insumo]]</f>
        <v>#VALUE!</v>
      </c>
    </row>
    <row r="1252" spans="2:2" x14ac:dyDescent="0.25">
      <c r="B1252" s="2" t="e">
        <f>Tabla1[[#This Row],[Nombre insumo]]</f>
        <v>#VALUE!</v>
      </c>
    </row>
    <row r="1253" spans="2:2" x14ac:dyDescent="0.25">
      <c r="B1253" s="2" t="e">
        <f>Tabla1[[#This Row],[Nombre insumo]]</f>
        <v>#VALUE!</v>
      </c>
    </row>
    <row r="1254" spans="2:2" x14ac:dyDescent="0.25">
      <c r="B1254" s="2" t="e">
        <f>Tabla1[[#This Row],[Nombre insumo]]</f>
        <v>#VALUE!</v>
      </c>
    </row>
    <row r="1255" spans="2:2" x14ac:dyDescent="0.25">
      <c r="B1255" s="2" t="e">
        <f>Tabla1[[#This Row],[Nombre insumo]]</f>
        <v>#VALUE!</v>
      </c>
    </row>
    <row r="1256" spans="2:2" x14ac:dyDescent="0.25">
      <c r="B1256" s="2" t="e">
        <f>Tabla1[[#This Row],[Nombre insumo]]</f>
        <v>#VALUE!</v>
      </c>
    </row>
    <row r="1257" spans="2:2" x14ac:dyDescent="0.25">
      <c r="B1257" s="2" t="e">
        <f>Tabla1[[#This Row],[Nombre insumo]]</f>
        <v>#VALUE!</v>
      </c>
    </row>
    <row r="1258" spans="2:2" x14ac:dyDescent="0.25">
      <c r="B1258" s="2" t="e">
        <f>Tabla1[[#This Row],[Nombre insumo]]</f>
        <v>#VALUE!</v>
      </c>
    </row>
    <row r="1259" spans="2:2" x14ac:dyDescent="0.25">
      <c r="B1259" s="2" t="e">
        <f>Tabla1[[#This Row],[Nombre insumo]]</f>
        <v>#VALUE!</v>
      </c>
    </row>
    <row r="1260" spans="2:2" x14ac:dyDescent="0.25">
      <c r="B1260" s="2" t="e">
        <f>Tabla1[[#This Row],[Nombre insumo]]</f>
        <v>#VALUE!</v>
      </c>
    </row>
    <row r="1261" spans="2:2" x14ac:dyDescent="0.25">
      <c r="B1261" s="2" t="e">
        <f>Tabla1[[#This Row],[Nombre insumo]]</f>
        <v>#VALUE!</v>
      </c>
    </row>
    <row r="1262" spans="2:2" x14ac:dyDescent="0.25">
      <c r="B1262" s="2" t="e">
        <f>Tabla1[[#This Row],[Nombre insumo]]</f>
        <v>#VALUE!</v>
      </c>
    </row>
    <row r="1263" spans="2:2" x14ac:dyDescent="0.25">
      <c r="B1263" s="2" t="e">
        <f>Tabla1[[#This Row],[Nombre insumo]]</f>
        <v>#VALUE!</v>
      </c>
    </row>
    <row r="1264" spans="2:2" x14ac:dyDescent="0.25">
      <c r="B1264" s="2" t="e">
        <f>Tabla1[[#This Row],[Nombre insumo]]</f>
        <v>#VALUE!</v>
      </c>
    </row>
    <row r="1265" spans="2:2" x14ac:dyDescent="0.25">
      <c r="B1265" s="2" t="e">
        <f>Tabla1[[#This Row],[Nombre insumo]]</f>
        <v>#VALUE!</v>
      </c>
    </row>
    <row r="1266" spans="2:2" x14ac:dyDescent="0.25">
      <c r="B1266" s="2" t="e">
        <f>Tabla1[[#This Row],[Nombre insumo]]</f>
        <v>#VALUE!</v>
      </c>
    </row>
    <row r="1267" spans="2:2" x14ac:dyDescent="0.25">
      <c r="B1267" s="2" t="e">
        <f>Tabla1[[#This Row],[Nombre insumo]]</f>
        <v>#VALUE!</v>
      </c>
    </row>
    <row r="1268" spans="2:2" x14ac:dyDescent="0.25">
      <c r="B1268" s="2" t="e">
        <f>Tabla1[[#This Row],[Nombre insumo]]</f>
        <v>#VALUE!</v>
      </c>
    </row>
    <row r="1269" spans="2:2" x14ac:dyDescent="0.25">
      <c r="B1269" s="2" t="e">
        <f>Tabla1[[#This Row],[Nombre insumo]]</f>
        <v>#VALUE!</v>
      </c>
    </row>
    <row r="1270" spans="2:2" x14ac:dyDescent="0.25">
      <c r="B1270" s="2" t="e">
        <f>Tabla1[[#This Row],[Nombre insumo]]</f>
        <v>#VALUE!</v>
      </c>
    </row>
    <row r="1271" spans="2:2" x14ac:dyDescent="0.25">
      <c r="B1271" s="2" t="e">
        <f>Tabla1[[#This Row],[Nombre insumo]]</f>
        <v>#VALUE!</v>
      </c>
    </row>
    <row r="1272" spans="2:2" x14ac:dyDescent="0.25">
      <c r="B1272" s="2" t="e">
        <f>Tabla1[[#This Row],[Nombre insumo]]</f>
        <v>#VALUE!</v>
      </c>
    </row>
    <row r="1273" spans="2:2" x14ac:dyDescent="0.25">
      <c r="B1273" s="2" t="e">
        <f>Tabla1[[#This Row],[Nombre insumo]]</f>
        <v>#VALUE!</v>
      </c>
    </row>
    <row r="1274" spans="2:2" x14ac:dyDescent="0.25">
      <c r="B1274" s="2" t="e">
        <f>Tabla1[[#This Row],[Nombre insumo]]</f>
        <v>#VALUE!</v>
      </c>
    </row>
    <row r="1275" spans="2:2" x14ac:dyDescent="0.25">
      <c r="B1275" s="2" t="e">
        <f>Tabla1[[#This Row],[Nombre insumo]]</f>
        <v>#VALUE!</v>
      </c>
    </row>
    <row r="1276" spans="2:2" x14ac:dyDescent="0.25">
      <c r="B1276" s="2" t="e">
        <f>Tabla1[[#This Row],[Nombre insumo]]</f>
        <v>#VALUE!</v>
      </c>
    </row>
    <row r="1277" spans="2:2" x14ac:dyDescent="0.25">
      <c r="B1277" s="2" t="e">
        <f>Tabla1[[#This Row],[Nombre insumo]]</f>
        <v>#VALUE!</v>
      </c>
    </row>
    <row r="1278" spans="2:2" x14ac:dyDescent="0.25">
      <c r="B1278" s="2" t="e">
        <f>Tabla1[[#This Row],[Nombre insumo]]</f>
        <v>#VALUE!</v>
      </c>
    </row>
    <row r="1279" spans="2:2" x14ac:dyDescent="0.25">
      <c r="B1279" s="2" t="e">
        <f>Tabla1[[#This Row],[Nombre insumo]]</f>
        <v>#VALUE!</v>
      </c>
    </row>
    <row r="1280" spans="2:2" x14ac:dyDescent="0.25">
      <c r="B1280" s="2" t="e">
        <f>Tabla1[[#This Row],[Nombre insumo]]</f>
        <v>#VALUE!</v>
      </c>
    </row>
    <row r="1281" spans="2:2" x14ac:dyDescent="0.25">
      <c r="B1281" s="2" t="e">
        <f>Tabla1[[#This Row],[Nombre insumo]]</f>
        <v>#VALUE!</v>
      </c>
    </row>
    <row r="1282" spans="2:2" x14ac:dyDescent="0.25">
      <c r="B1282" s="2" t="e">
        <f>Tabla1[[#This Row],[Nombre insumo]]</f>
        <v>#VALUE!</v>
      </c>
    </row>
    <row r="1283" spans="2:2" x14ac:dyDescent="0.25">
      <c r="B1283" s="2" t="e">
        <f>Tabla1[[#This Row],[Nombre insumo]]</f>
        <v>#VALUE!</v>
      </c>
    </row>
    <row r="1284" spans="2:2" x14ac:dyDescent="0.25">
      <c r="B1284" s="2" t="e">
        <f>Tabla1[[#This Row],[Nombre insumo]]</f>
        <v>#VALUE!</v>
      </c>
    </row>
    <row r="1285" spans="2:2" x14ac:dyDescent="0.25">
      <c r="B1285" s="2" t="e">
        <f>Tabla1[[#This Row],[Nombre insumo]]</f>
        <v>#VALUE!</v>
      </c>
    </row>
    <row r="1286" spans="2:2" x14ac:dyDescent="0.25">
      <c r="B1286" s="2" t="e">
        <f>Tabla1[[#This Row],[Nombre insumo]]</f>
        <v>#VALUE!</v>
      </c>
    </row>
    <row r="1287" spans="2:2" x14ac:dyDescent="0.25">
      <c r="B1287" s="2" t="e">
        <f>Tabla1[[#This Row],[Nombre insumo]]</f>
        <v>#VALUE!</v>
      </c>
    </row>
    <row r="1288" spans="2:2" x14ac:dyDescent="0.25">
      <c r="B1288" s="2" t="e">
        <f>Tabla1[[#This Row],[Nombre insumo]]</f>
        <v>#VALUE!</v>
      </c>
    </row>
    <row r="1289" spans="2:2" x14ac:dyDescent="0.25">
      <c r="B1289" s="2" t="e">
        <f>Tabla1[[#This Row],[Nombre insumo]]</f>
        <v>#VALUE!</v>
      </c>
    </row>
    <row r="1290" spans="2:2" x14ac:dyDescent="0.25">
      <c r="B1290" s="2" t="e">
        <f>Tabla1[[#This Row],[Nombre insumo]]</f>
        <v>#VALUE!</v>
      </c>
    </row>
    <row r="1291" spans="2:2" x14ac:dyDescent="0.25">
      <c r="B1291" s="2" t="e">
        <f>Tabla1[[#This Row],[Nombre insumo]]</f>
        <v>#VALUE!</v>
      </c>
    </row>
    <row r="1292" spans="2:2" x14ac:dyDescent="0.25">
      <c r="B1292" s="2" t="e">
        <f>Tabla1[[#This Row],[Nombre insumo]]</f>
        <v>#VALUE!</v>
      </c>
    </row>
    <row r="1293" spans="2:2" x14ac:dyDescent="0.25">
      <c r="B1293" s="2" t="e">
        <f>Tabla1[[#This Row],[Nombre insumo]]</f>
        <v>#VALUE!</v>
      </c>
    </row>
    <row r="1294" spans="2:2" x14ac:dyDescent="0.25">
      <c r="B1294" s="2" t="e">
        <f>Tabla1[[#This Row],[Nombre insumo]]</f>
        <v>#VALUE!</v>
      </c>
    </row>
    <row r="1295" spans="2:2" x14ac:dyDescent="0.25">
      <c r="B1295" s="2" t="e">
        <f>Tabla1[[#This Row],[Nombre insumo]]</f>
        <v>#VALUE!</v>
      </c>
    </row>
    <row r="1296" spans="2:2" x14ac:dyDescent="0.25">
      <c r="B1296" s="2" t="e">
        <f>Tabla1[[#This Row],[Nombre insumo]]</f>
        <v>#VALUE!</v>
      </c>
    </row>
    <row r="1297" spans="2:2" x14ac:dyDescent="0.25">
      <c r="B1297" s="2" t="e">
        <f>Tabla1[[#This Row],[Nombre insumo]]</f>
        <v>#VALUE!</v>
      </c>
    </row>
    <row r="1298" spans="2:2" x14ac:dyDescent="0.25">
      <c r="B1298" s="2" t="e">
        <f>Tabla1[[#This Row],[Nombre insumo]]</f>
        <v>#VALUE!</v>
      </c>
    </row>
    <row r="1299" spans="2:2" x14ac:dyDescent="0.25">
      <c r="B1299" s="2" t="e">
        <f>Tabla1[[#This Row],[Nombre insumo]]</f>
        <v>#VALUE!</v>
      </c>
    </row>
    <row r="1300" spans="2:2" x14ac:dyDescent="0.25">
      <c r="B1300" s="2" t="e">
        <f>Tabla1[[#This Row],[Nombre insumo]]</f>
        <v>#VALUE!</v>
      </c>
    </row>
    <row r="1301" spans="2:2" x14ac:dyDescent="0.25">
      <c r="B1301" s="2" t="e">
        <f>Tabla1[[#This Row],[Nombre insumo]]</f>
        <v>#VALUE!</v>
      </c>
    </row>
    <row r="1302" spans="2:2" x14ac:dyDescent="0.25">
      <c r="B1302" s="2" t="e">
        <f>Tabla1[[#This Row],[Nombre insumo]]</f>
        <v>#VALUE!</v>
      </c>
    </row>
    <row r="1303" spans="2:2" x14ac:dyDescent="0.25">
      <c r="B1303" s="2" t="e">
        <f>Tabla1[[#This Row],[Nombre insumo]]</f>
        <v>#VALUE!</v>
      </c>
    </row>
    <row r="1304" spans="2:2" x14ac:dyDescent="0.25">
      <c r="B1304" s="2" t="e">
        <f>Tabla1[[#This Row],[Nombre insumo]]</f>
        <v>#VALUE!</v>
      </c>
    </row>
    <row r="1305" spans="2:2" x14ac:dyDescent="0.25">
      <c r="B1305" s="2" t="e">
        <f>Tabla1[[#This Row],[Nombre insumo]]</f>
        <v>#VALUE!</v>
      </c>
    </row>
    <row r="1306" spans="2:2" x14ac:dyDescent="0.25">
      <c r="B1306" s="2" t="e">
        <f>Tabla1[[#This Row],[Nombre insumo]]</f>
        <v>#VALUE!</v>
      </c>
    </row>
    <row r="1307" spans="2:2" x14ac:dyDescent="0.25">
      <c r="B1307" s="2" t="e">
        <f>Tabla1[[#This Row],[Nombre insumo]]</f>
        <v>#VALUE!</v>
      </c>
    </row>
    <row r="1308" spans="2:2" x14ac:dyDescent="0.25">
      <c r="B1308" s="2" t="e">
        <f>Tabla1[[#This Row],[Nombre insumo]]</f>
        <v>#VALUE!</v>
      </c>
    </row>
    <row r="1309" spans="2:2" x14ac:dyDescent="0.25">
      <c r="B1309" s="2" t="e">
        <f>Tabla1[[#This Row],[Nombre insumo]]</f>
        <v>#VALUE!</v>
      </c>
    </row>
    <row r="1310" spans="2:2" x14ac:dyDescent="0.25">
      <c r="B1310" s="2" t="e">
        <f>Tabla1[[#This Row],[Nombre insumo]]</f>
        <v>#VALUE!</v>
      </c>
    </row>
    <row r="1311" spans="2:2" x14ac:dyDescent="0.25">
      <c r="B1311" s="2" t="e">
        <f>Tabla1[[#This Row],[Nombre insumo]]</f>
        <v>#VALUE!</v>
      </c>
    </row>
    <row r="1312" spans="2:2" x14ac:dyDescent="0.25">
      <c r="B1312" s="2" t="e">
        <f>Tabla1[[#This Row],[Nombre insumo]]</f>
        <v>#VALUE!</v>
      </c>
    </row>
    <row r="1313" spans="2:2" x14ac:dyDescent="0.25">
      <c r="B1313" s="2" t="e">
        <f>Tabla1[[#This Row],[Nombre insumo]]</f>
        <v>#VALUE!</v>
      </c>
    </row>
    <row r="1314" spans="2:2" x14ac:dyDescent="0.25">
      <c r="B1314" s="2" t="e">
        <f>Tabla1[[#This Row],[Nombre insumo]]</f>
        <v>#VALUE!</v>
      </c>
    </row>
    <row r="1315" spans="2:2" x14ac:dyDescent="0.25">
      <c r="B1315" s="2" t="e">
        <f>Tabla1[[#This Row],[Nombre insumo]]</f>
        <v>#VALUE!</v>
      </c>
    </row>
    <row r="1316" spans="2:2" x14ac:dyDescent="0.25">
      <c r="B1316" s="2" t="e">
        <f>Tabla1[[#This Row],[Nombre insumo]]</f>
        <v>#VALUE!</v>
      </c>
    </row>
    <row r="1317" spans="2:2" x14ac:dyDescent="0.25">
      <c r="B1317" s="2" t="e">
        <f>Tabla1[[#This Row],[Nombre insumo]]</f>
        <v>#VALUE!</v>
      </c>
    </row>
    <row r="1318" spans="2:2" x14ac:dyDescent="0.25">
      <c r="B1318" s="2" t="e">
        <f>Tabla1[[#This Row],[Nombre insumo]]</f>
        <v>#VALUE!</v>
      </c>
    </row>
    <row r="1319" spans="2:2" x14ac:dyDescent="0.25">
      <c r="B1319" s="2" t="e">
        <f>Tabla1[[#This Row],[Nombre insumo]]</f>
        <v>#VALUE!</v>
      </c>
    </row>
    <row r="1320" spans="2:2" x14ac:dyDescent="0.25">
      <c r="B1320" s="2" t="e">
        <f>Tabla1[[#This Row],[Nombre insumo]]</f>
        <v>#VALUE!</v>
      </c>
    </row>
    <row r="1321" spans="2:2" x14ac:dyDescent="0.25">
      <c r="B1321" s="2" t="e">
        <f>Tabla1[[#This Row],[Nombre insumo]]</f>
        <v>#VALUE!</v>
      </c>
    </row>
    <row r="1322" spans="2:2" x14ac:dyDescent="0.25">
      <c r="B1322" s="2" t="e">
        <f>Tabla1[[#This Row],[Nombre insumo]]</f>
        <v>#VALUE!</v>
      </c>
    </row>
    <row r="1323" spans="2:2" x14ac:dyDescent="0.25">
      <c r="B1323" s="2" t="e">
        <f>Tabla1[[#This Row],[Nombre insumo]]</f>
        <v>#VALUE!</v>
      </c>
    </row>
    <row r="1324" spans="2:2" x14ac:dyDescent="0.25">
      <c r="B1324" s="2" t="e">
        <f>Tabla1[[#This Row],[Nombre insumo]]</f>
        <v>#VALUE!</v>
      </c>
    </row>
    <row r="1325" spans="2:2" x14ac:dyDescent="0.25">
      <c r="B1325" s="2" t="e">
        <f>Tabla1[[#This Row],[Nombre insumo]]</f>
        <v>#VALUE!</v>
      </c>
    </row>
    <row r="1326" spans="2:2" x14ac:dyDescent="0.25">
      <c r="B1326" s="2" t="e">
        <f>Tabla1[[#This Row],[Nombre insumo]]</f>
        <v>#VALUE!</v>
      </c>
    </row>
    <row r="1327" spans="2:2" x14ac:dyDescent="0.25">
      <c r="B1327" s="2" t="e">
        <f>Tabla1[[#This Row],[Nombre insumo]]</f>
        <v>#VALUE!</v>
      </c>
    </row>
    <row r="1328" spans="2:2" x14ac:dyDescent="0.25">
      <c r="B1328" s="2" t="e">
        <f>Tabla1[[#This Row],[Nombre insumo]]</f>
        <v>#VALUE!</v>
      </c>
    </row>
    <row r="1329" spans="2:2" x14ac:dyDescent="0.25">
      <c r="B1329" s="2" t="e">
        <f>Tabla1[[#This Row],[Nombre insumo]]</f>
        <v>#VALUE!</v>
      </c>
    </row>
    <row r="1330" spans="2:2" x14ac:dyDescent="0.25">
      <c r="B1330" s="2" t="e">
        <f>Tabla1[[#This Row],[Nombre insumo]]</f>
        <v>#VALUE!</v>
      </c>
    </row>
    <row r="1331" spans="2:2" x14ac:dyDescent="0.25">
      <c r="B1331" s="2" t="e">
        <f>Tabla1[[#This Row],[Nombre insumo]]</f>
        <v>#VALUE!</v>
      </c>
    </row>
    <row r="1332" spans="2:2" x14ac:dyDescent="0.25">
      <c r="B1332" s="2" t="e">
        <f>Tabla1[[#This Row],[Nombre insumo]]</f>
        <v>#VALUE!</v>
      </c>
    </row>
    <row r="1333" spans="2:2" x14ac:dyDescent="0.25">
      <c r="B1333" s="2" t="e">
        <f>Tabla1[[#This Row],[Nombre insumo]]</f>
        <v>#VALUE!</v>
      </c>
    </row>
    <row r="1334" spans="2:2" x14ac:dyDescent="0.25">
      <c r="B1334" s="2" t="e">
        <f>Tabla1[[#This Row],[Nombre insumo]]</f>
        <v>#VALUE!</v>
      </c>
    </row>
    <row r="1335" spans="2:2" x14ac:dyDescent="0.25">
      <c r="B1335" s="2" t="e">
        <f>Tabla1[[#This Row],[Nombre insumo]]</f>
        <v>#VALUE!</v>
      </c>
    </row>
    <row r="1336" spans="2:2" x14ac:dyDescent="0.25">
      <c r="B1336" s="2" t="e">
        <f>Tabla1[[#This Row],[Nombre insumo]]</f>
        <v>#VALUE!</v>
      </c>
    </row>
    <row r="1337" spans="2:2" x14ac:dyDescent="0.25">
      <c r="B1337" s="2" t="e">
        <f>Tabla1[[#This Row],[Nombre insumo]]</f>
        <v>#VALUE!</v>
      </c>
    </row>
    <row r="1338" spans="2:2" x14ac:dyDescent="0.25">
      <c r="B1338" s="2" t="e">
        <f>Tabla1[[#This Row],[Nombre insumo]]</f>
        <v>#VALUE!</v>
      </c>
    </row>
    <row r="1339" spans="2:2" x14ac:dyDescent="0.25">
      <c r="B1339" s="2" t="e">
        <f>Tabla1[[#This Row],[Nombre insumo]]</f>
        <v>#VALUE!</v>
      </c>
    </row>
    <row r="1340" spans="2:2" x14ac:dyDescent="0.25">
      <c r="B1340" s="2" t="e">
        <f>Tabla1[[#This Row],[Nombre insumo]]</f>
        <v>#VALUE!</v>
      </c>
    </row>
    <row r="1341" spans="2:2" x14ac:dyDescent="0.25">
      <c r="B1341" s="2" t="e">
        <f>Tabla1[[#This Row],[Nombre insumo]]</f>
        <v>#VALUE!</v>
      </c>
    </row>
    <row r="1342" spans="2:2" x14ac:dyDescent="0.25">
      <c r="B1342" s="2" t="e">
        <f>Tabla1[[#This Row],[Nombre insumo]]</f>
        <v>#VALUE!</v>
      </c>
    </row>
    <row r="1343" spans="2:2" x14ac:dyDescent="0.25">
      <c r="B1343" s="2" t="e">
        <f>Tabla1[[#This Row],[Nombre insumo]]</f>
        <v>#VALUE!</v>
      </c>
    </row>
    <row r="1344" spans="2:2" x14ac:dyDescent="0.25">
      <c r="B1344" s="2" t="e">
        <f>Tabla1[[#This Row],[Nombre insumo]]</f>
        <v>#VALUE!</v>
      </c>
    </row>
    <row r="1345" spans="2:2" x14ac:dyDescent="0.25">
      <c r="B1345" s="2" t="e">
        <f>Tabla1[[#This Row],[Nombre insumo]]</f>
        <v>#VALUE!</v>
      </c>
    </row>
    <row r="1346" spans="2:2" x14ac:dyDescent="0.25">
      <c r="B1346" s="2" t="e">
        <f>Tabla1[[#This Row],[Nombre insumo]]</f>
        <v>#VALUE!</v>
      </c>
    </row>
    <row r="1347" spans="2:2" x14ac:dyDescent="0.25">
      <c r="B1347" s="2" t="e">
        <f>Tabla1[[#This Row],[Nombre insumo]]</f>
        <v>#VALUE!</v>
      </c>
    </row>
    <row r="1348" spans="2:2" x14ac:dyDescent="0.25">
      <c r="B1348" s="2" t="e">
        <f>Tabla1[[#This Row],[Nombre insumo]]</f>
        <v>#VALUE!</v>
      </c>
    </row>
    <row r="1349" spans="2:2" x14ac:dyDescent="0.25">
      <c r="B1349" s="2" t="e">
        <f>Tabla1[[#This Row],[Nombre insumo]]</f>
        <v>#VALUE!</v>
      </c>
    </row>
    <row r="1350" spans="2:2" x14ac:dyDescent="0.25">
      <c r="B1350" s="2" t="e">
        <f>Tabla1[[#This Row],[Nombre insumo]]</f>
        <v>#VALUE!</v>
      </c>
    </row>
    <row r="1351" spans="2:2" x14ac:dyDescent="0.25">
      <c r="B1351" s="2" t="e">
        <f>Tabla1[[#This Row],[Nombre insumo]]</f>
        <v>#VALUE!</v>
      </c>
    </row>
    <row r="1352" spans="2:2" x14ac:dyDescent="0.25">
      <c r="B1352" s="2" t="e">
        <f>Tabla1[[#This Row],[Nombre insumo]]</f>
        <v>#VALUE!</v>
      </c>
    </row>
    <row r="1353" spans="2:2" x14ac:dyDescent="0.25">
      <c r="B1353" s="2" t="e">
        <f>Tabla1[[#This Row],[Nombre insumo]]</f>
        <v>#VALUE!</v>
      </c>
    </row>
    <row r="1354" spans="2:2" x14ac:dyDescent="0.25">
      <c r="B1354" s="2" t="e">
        <f>Tabla1[[#This Row],[Nombre insumo]]</f>
        <v>#VALUE!</v>
      </c>
    </row>
    <row r="1355" spans="2:2" x14ac:dyDescent="0.25">
      <c r="B1355" s="2" t="e">
        <f>Tabla1[[#This Row],[Nombre insumo]]</f>
        <v>#VALUE!</v>
      </c>
    </row>
    <row r="1356" spans="2:2" x14ac:dyDescent="0.25">
      <c r="B1356" s="2" t="e">
        <f>Tabla1[[#This Row],[Nombre insumo]]</f>
        <v>#VALUE!</v>
      </c>
    </row>
    <row r="1357" spans="2:2" x14ac:dyDescent="0.25">
      <c r="B1357" s="2" t="e">
        <f>Tabla1[[#This Row],[Nombre insumo]]</f>
        <v>#VALUE!</v>
      </c>
    </row>
    <row r="1358" spans="2:2" x14ac:dyDescent="0.25">
      <c r="B1358" s="2" t="e">
        <f>Tabla1[[#This Row],[Nombre insumo]]</f>
        <v>#VALUE!</v>
      </c>
    </row>
    <row r="1359" spans="2:2" x14ac:dyDescent="0.25">
      <c r="B1359" s="2" t="e">
        <f>Tabla1[[#This Row],[Nombre insumo]]</f>
        <v>#VALUE!</v>
      </c>
    </row>
    <row r="1360" spans="2:2" x14ac:dyDescent="0.25">
      <c r="B1360" s="2" t="e">
        <f>Tabla1[[#This Row],[Nombre insumo]]</f>
        <v>#VALUE!</v>
      </c>
    </row>
    <row r="1361" spans="2:2" x14ac:dyDescent="0.25">
      <c r="B1361" s="2" t="e">
        <f>Tabla1[[#This Row],[Nombre insumo]]</f>
        <v>#VALUE!</v>
      </c>
    </row>
    <row r="1362" spans="2:2" x14ac:dyDescent="0.25">
      <c r="B1362" s="2" t="e">
        <f>Tabla1[[#This Row],[Nombre insumo]]</f>
        <v>#VALUE!</v>
      </c>
    </row>
    <row r="1363" spans="2:2" x14ac:dyDescent="0.25">
      <c r="B1363" s="2" t="e">
        <f>Tabla1[[#This Row],[Nombre insumo]]</f>
        <v>#VALUE!</v>
      </c>
    </row>
    <row r="1364" spans="2:2" x14ac:dyDescent="0.25">
      <c r="B1364" s="2" t="e">
        <f>Tabla1[[#This Row],[Nombre insumo]]</f>
        <v>#VALUE!</v>
      </c>
    </row>
    <row r="1365" spans="2:2" x14ac:dyDescent="0.25">
      <c r="B1365" s="2" t="e">
        <f>Tabla1[[#This Row],[Nombre insumo]]</f>
        <v>#VALUE!</v>
      </c>
    </row>
    <row r="1366" spans="2:2" x14ac:dyDescent="0.25">
      <c r="B1366" s="2" t="e">
        <f>Tabla1[[#This Row],[Nombre insumo]]</f>
        <v>#VALUE!</v>
      </c>
    </row>
    <row r="1367" spans="2:2" x14ac:dyDescent="0.25">
      <c r="B1367" s="2" t="e">
        <f>Tabla1[[#This Row],[Nombre insumo]]</f>
        <v>#VALUE!</v>
      </c>
    </row>
    <row r="1368" spans="2:2" x14ac:dyDescent="0.25">
      <c r="B1368" s="2" t="e">
        <f>Tabla1[[#This Row],[Nombre insumo]]</f>
        <v>#VALUE!</v>
      </c>
    </row>
    <row r="1369" spans="2:2" x14ac:dyDescent="0.25">
      <c r="B1369" s="2" t="e">
        <f>Tabla1[[#This Row],[Nombre insumo]]</f>
        <v>#VALUE!</v>
      </c>
    </row>
    <row r="1370" spans="2:2" x14ac:dyDescent="0.25">
      <c r="B1370" s="2" t="e">
        <f>Tabla1[[#This Row],[Nombre insumo]]</f>
        <v>#VALUE!</v>
      </c>
    </row>
    <row r="1371" spans="2:2" x14ac:dyDescent="0.25">
      <c r="B1371" s="2" t="e">
        <f>Tabla1[[#This Row],[Nombre insumo]]</f>
        <v>#VALUE!</v>
      </c>
    </row>
    <row r="1372" spans="2:2" x14ac:dyDescent="0.25">
      <c r="B1372" s="2" t="e">
        <f>Tabla1[[#This Row],[Nombre insumo]]</f>
        <v>#VALUE!</v>
      </c>
    </row>
    <row r="1373" spans="2:2" x14ac:dyDescent="0.25">
      <c r="B1373" s="2" t="e">
        <f>Tabla1[[#This Row],[Nombre insumo]]</f>
        <v>#VALUE!</v>
      </c>
    </row>
    <row r="1374" spans="2:2" x14ac:dyDescent="0.25">
      <c r="B1374" s="2" t="e">
        <f>Tabla1[[#This Row],[Nombre insumo]]</f>
        <v>#VALUE!</v>
      </c>
    </row>
    <row r="1375" spans="2:2" x14ac:dyDescent="0.25">
      <c r="B1375" s="2" t="e">
        <f>Tabla1[[#This Row],[Nombre insumo]]</f>
        <v>#VALUE!</v>
      </c>
    </row>
    <row r="1376" spans="2:2" x14ac:dyDescent="0.25">
      <c r="B1376" s="2" t="e">
        <f>Tabla1[[#This Row],[Nombre insumo]]</f>
        <v>#VALUE!</v>
      </c>
    </row>
    <row r="1377" spans="2:2" x14ac:dyDescent="0.25">
      <c r="B1377" s="2" t="e">
        <f>Tabla1[[#This Row],[Nombre insumo]]</f>
        <v>#VALUE!</v>
      </c>
    </row>
    <row r="1378" spans="2:2" x14ac:dyDescent="0.25">
      <c r="B1378" s="2" t="e">
        <f>Tabla1[[#This Row],[Nombre insumo]]</f>
        <v>#VALUE!</v>
      </c>
    </row>
    <row r="1379" spans="2:2" x14ac:dyDescent="0.25">
      <c r="B1379" s="2" t="e">
        <f>Tabla1[[#This Row],[Nombre insumo]]</f>
        <v>#VALUE!</v>
      </c>
    </row>
    <row r="1380" spans="2:2" x14ac:dyDescent="0.25">
      <c r="B1380" s="2" t="e">
        <f>Tabla1[[#This Row],[Nombre insumo]]</f>
        <v>#VALUE!</v>
      </c>
    </row>
    <row r="1381" spans="2:2" x14ac:dyDescent="0.25">
      <c r="B1381" s="2" t="e">
        <f>Tabla1[[#This Row],[Nombre insumo]]</f>
        <v>#VALUE!</v>
      </c>
    </row>
    <row r="1382" spans="2:2" x14ac:dyDescent="0.25">
      <c r="B1382" s="2" t="e">
        <f>Tabla1[[#This Row],[Nombre insumo]]</f>
        <v>#VALUE!</v>
      </c>
    </row>
    <row r="1383" spans="2:2" x14ac:dyDescent="0.25">
      <c r="B1383" s="2" t="e">
        <f>Tabla1[[#This Row],[Nombre insumo]]</f>
        <v>#VALUE!</v>
      </c>
    </row>
    <row r="1384" spans="2:2" x14ac:dyDescent="0.25">
      <c r="B1384" s="2" t="e">
        <f>Tabla1[[#This Row],[Nombre insumo]]</f>
        <v>#VALUE!</v>
      </c>
    </row>
    <row r="1385" spans="2:2" x14ac:dyDescent="0.25">
      <c r="B1385" s="2" t="e">
        <f>Tabla1[[#This Row],[Nombre insumo]]</f>
        <v>#VALUE!</v>
      </c>
    </row>
    <row r="1386" spans="2:2" x14ac:dyDescent="0.25">
      <c r="B1386" s="2" t="e">
        <f>Tabla1[[#This Row],[Nombre insumo]]</f>
        <v>#VALUE!</v>
      </c>
    </row>
    <row r="1387" spans="2:2" x14ac:dyDescent="0.25">
      <c r="B1387" s="2" t="e">
        <f>Tabla1[[#This Row],[Nombre insumo]]</f>
        <v>#VALUE!</v>
      </c>
    </row>
    <row r="1388" spans="2:2" x14ac:dyDescent="0.25">
      <c r="B1388" s="2" t="e">
        <f>Tabla1[[#This Row],[Nombre insumo]]</f>
        <v>#VALUE!</v>
      </c>
    </row>
    <row r="1389" spans="2:2" x14ac:dyDescent="0.25">
      <c r="B1389" s="2" t="e">
        <f>Tabla1[[#This Row],[Nombre insumo]]</f>
        <v>#VALUE!</v>
      </c>
    </row>
    <row r="1390" spans="2:2" x14ac:dyDescent="0.25">
      <c r="B1390" s="2" t="e">
        <f>Tabla1[[#This Row],[Nombre insumo]]</f>
        <v>#VALUE!</v>
      </c>
    </row>
  </sheetData>
  <mergeCells count="16">
    <mergeCell ref="R6:S6"/>
    <mergeCell ref="T6:U6"/>
    <mergeCell ref="J4:U4"/>
    <mergeCell ref="J5:U5"/>
    <mergeCell ref="C4:H4"/>
    <mergeCell ref="C5:H5"/>
    <mergeCell ref="N6:O6"/>
    <mergeCell ref="P6:Q6"/>
    <mergeCell ref="J6:K6"/>
    <mergeCell ref="L6:M6"/>
    <mergeCell ref="P20:Q21"/>
    <mergeCell ref="P22:Q23"/>
    <mergeCell ref="Q41:S41"/>
    <mergeCell ref="Q45:S45"/>
    <mergeCell ref="J20:M21"/>
    <mergeCell ref="J22:M23"/>
  </mergeCells>
  <pageMargins left="0.7" right="0.7" top="0.75" bottom="0.75" header="0.3" footer="0.3"/>
  <pageSetup orientation="portrait" horizontalDpi="0" verticalDpi="0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1647-2CE0-449D-985D-8DB00B83FAC5}">
  <sheetPr>
    <tabColor rgb="FFE8E4C8"/>
  </sheetPr>
  <dimension ref="A2:R41"/>
  <sheetViews>
    <sheetView showGridLines="0" topLeftCell="A5" zoomScale="80" zoomScaleNormal="80" workbookViewId="0">
      <selection activeCell="K41" sqref="K41"/>
    </sheetView>
  </sheetViews>
  <sheetFormatPr baseColWidth="10" defaultRowHeight="15" x14ac:dyDescent="0.25"/>
  <cols>
    <col min="1" max="8" width="4.85546875" customWidth="1"/>
    <col min="9" max="9" width="10" bestFit="1" customWidth="1"/>
    <col min="10" max="10" width="32" bestFit="1" customWidth="1"/>
    <col min="11" max="11" width="22.140625" style="6" bestFit="1" customWidth="1"/>
    <col min="12" max="12" width="21.7109375" style="9" bestFit="1" customWidth="1"/>
    <col min="13" max="13" width="21.5703125" bestFit="1" customWidth="1"/>
    <col min="14" max="14" width="25.7109375" style="1" bestFit="1" customWidth="1"/>
    <col min="15" max="16" width="21.85546875" style="6" customWidth="1"/>
    <col min="17" max="17" width="22.85546875" style="1" bestFit="1" customWidth="1"/>
    <col min="18" max="18" width="29.5703125" style="1" bestFit="1" customWidth="1"/>
    <col min="19" max="19" width="11.7109375" bestFit="1" customWidth="1"/>
    <col min="20" max="20" width="18.85546875" bestFit="1" customWidth="1"/>
  </cols>
  <sheetData>
    <row r="2" spans="1:18" ht="42.75" customHeight="1" x14ac:dyDescent="0.35">
      <c r="J2" s="115" t="s">
        <v>16</v>
      </c>
      <c r="K2" s="115"/>
      <c r="L2" s="115"/>
      <c r="M2" s="115"/>
      <c r="N2" s="115"/>
      <c r="O2" s="115"/>
      <c r="P2" s="115"/>
      <c r="Q2" s="115"/>
      <c r="R2" s="115"/>
    </row>
    <row r="3" spans="1:18" ht="12.75" customHeight="1" x14ac:dyDescent="0.25">
      <c r="J3" s="116" t="s">
        <v>52</v>
      </c>
      <c r="K3" s="116"/>
      <c r="L3" s="116"/>
      <c r="M3" s="116"/>
      <c r="N3" s="116"/>
      <c r="O3" s="116"/>
      <c r="P3" s="116"/>
      <c r="Q3" s="116"/>
      <c r="R3" s="116"/>
    </row>
    <row r="4" spans="1:18" ht="17.25" customHeight="1" x14ac:dyDescent="0.25">
      <c r="J4" s="116"/>
      <c r="K4" s="116"/>
      <c r="L4" s="116"/>
      <c r="M4" s="116"/>
      <c r="N4" s="116"/>
      <c r="O4" s="116"/>
      <c r="P4" s="116"/>
      <c r="Q4" s="116"/>
      <c r="R4" s="116"/>
    </row>
    <row r="5" spans="1:18" s="3" customFormat="1" ht="28.5" customHeight="1" x14ac:dyDescent="0.25">
      <c r="J5" s="53" t="s">
        <v>17</v>
      </c>
      <c r="K5" s="53" t="s">
        <v>1</v>
      </c>
      <c r="L5" s="54" t="s">
        <v>18</v>
      </c>
      <c r="M5" s="53" t="s">
        <v>19</v>
      </c>
      <c r="N5" s="55" t="s">
        <v>20</v>
      </c>
      <c r="O5" s="55" t="s">
        <v>27</v>
      </c>
      <c r="P5" s="55" t="s">
        <v>15</v>
      </c>
      <c r="Q5" s="55" t="s">
        <v>21</v>
      </c>
      <c r="R5" s="55" t="s">
        <v>22</v>
      </c>
    </row>
    <row r="6" spans="1:18" x14ac:dyDescent="0.25">
      <c r="A6" s="2" t="s">
        <v>28</v>
      </c>
      <c r="B6" s="2"/>
      <c r="C6" s="2"/>
      <c r="D6" s="2"/>
      <c r="E6" s="2"/>
      <c r="F6" s="2"/>
      <c r="G6" s="2"/>
      <c r="H6" s="2"/>
      <c r="I6" s="2" t="s">
        <v>7</v>
      </c>
      <c r="J6" s="52"/>
      <c r="K6" s="67">
        <f>IFERROR(VLOOKUP(J6,'Insumos y gastos'!$B$13:$C$83,2,0),"")</f>
        <v>0</v>
      </c>
      <c r="L6" s="67">
        <f>IFERROR(VLOOKUP(J6,Tabla1[[#All],[Nombre insumo]:[Pr. Unidad]],4,0),0)</f>
        <v>0</v>
      </c>
      <c r="M6" s="70"/>
      <c r="N6" s="67">
        <f>Tabla2[[#This Row],[Cantidad]]*Tabla2[[#This Row],[Costo insumo]]</f>
        <v>0</v>
      </c>
      <c r="O6" s="69"/>
      <c r="P6" s="69"/>
      <c r="Q6" s="67">
        <f>IF(AND(Tabla2[[#This Row],[Tipo de insumo]]="PAPEL",Tabla2[[#This Row],[Doble faz]]="SI",Tabla2[[#This Row],[Impresora]]='Insumos y gastos'!$J$6),M6*'Insumos y gastos'!$K$15*2,IF(AND(Tabla2[[#This Row],[Tipo de insumo]]="PAPEL",Tabla2[[#This Row],[Doble faz]]="SI",Tabla2[[#This Row],[Impresora]]='Insumos y gastos'!$L$6),M6*'Insumos y gastos'!$M$15*2,IF(AND(Tabla2[[#This Row],[Tipo de insumo]]="PAPEL",Tabla2[[#This Row],[Doble faz]]="SI",Tabla2[[#This Row],[Impresora]]='Insumos y gastos'!$N$6),M6*'Insumos y gastos'!$O$15*2,IF(AND(Tabla2[[#This Row],[Tipo de insumo]]="PAPEL",Tabla2[[#This Row],[Doble faz]]="SI",Tabla2[[#This Row],[Impresora]]='Insumos y gastos'!$P$6),M6*'Insumos y gastos'!$Q$15*2,IF(AND(Tabla2[[#This Row],[Tipo de insumo]]="PAPEL",Tabla2[[#This Row],[Doble faz]]="SI",Tabla2[[#This Row],[Impresora]]='Insumos y gastos'!$R$6),M6*'Insumos y gastos'!$S$15*2,IF(AND(Tabla2[[#This Row],[Tipo de insumo]]="PAPEL",Tabla2[[#This Row],[Doble faz]]="SI",Tabla2[[#This Row],[Impresora]]='Insumos y gastos'!$T$6),M6*'Insumos y gastos'!$U$15*2,IF(AND(Tabla2[[#This Row],[Tipo de insumo]]="PAPEL",Tabla2[[#This Row],[Doble faz]]="NO",Tabla2[[#This Row],[Impresora]]='Insumos y gastos'!$J$6),M6*'Insumos y gastos'!$K$15,IF(AND(Tabla2[[#This Row],[Tipo de insumo]]="PAPEL",Tabla2[[#This Row],[Doble faz]]="NO",Tabla2[[#This Row],[Impresora]]='Insumos y gastos'!$L$6),M6*'Insumos y gastos'!$M$15,IF(AND(Tabla2[[#This Row],[Tipo de insumo]]="PAPEL",Tabla2[[#This Row],[Doble faz]]="NO",Tabla2[[#This Row],[Impresora]]='Insumos y gastos'!$N$6),M6*'Insumos y gastos'!$O$15,IF(AND(Tabla2[[#This Row],[Tipo de insumo]]="PAPEL",Tabla2[[#This Row],[Doble faz]]="NO",Tabla2[[#This Row],[Impresora]]='Insumos y gastos'!$P$6),M6*'Insumos y gastos'!$Q$15,IF(AND(Tabla2[[#This Row],[Tipo de insumo]]="PAPEL",Tabla2[[#This Row],[Doble faz]]="NO",Tabla2[[#This Row],[Impresora]]='Insumos y gastos'!$R$6),M6*'Insumos y gastos'!$S$15,IF(AND(Tabla2[[#This Row],[Tipo de insumo]]="PAPEL",Tabla2[[#This Row],[Doble faz]]="NO",Tabla2[[#This Row],[Impresora]]='Insumos y gastos'!$T$6),M6*'Insumos y gastos'!$U$15,0))))))))))))</f>
        <v>0</v>
      </c>
      <c r="R6" s="67">
        <f>Tabla2[[#This Row],[Costo impresión]]+Tabla2[[#This Row],[Total costo insumo]]</f>
        <v>0</v>
      </c>
    </row>
    <row r="7" spans="1:18" x14ac:dyDescent="0.25">
      <c r="A7" s="2" t="s">
        <v>29</v>
      </c>
      <c r="B7" s="2"/>
      <c r="C7" s="2"/>
      <c r="D7" s="2"/>
      <c r="E7" s="2"/>
      <c r="F7" s="2"/>
      <c r="G7" s="2"/>
      <c r="H7" s="2"/>
      <c r="I7" s="2" t="s">
        <v>10</v>
      </c>
      <c r="J7" s="52"/>
      <c r="K7" s="67">
        <f>IFERROR(VLOOKUP(J7,'Insumos y gastos'!$B$13:$C$83,2,0),"")</f>
        <v>0</v>
      </c>
      <c r="L7" s="67">
        <f>IFERROR(VLOOKUP(J7,Tabla1[[#All],[Nombre insumo]:[Pr. Unidad]],4,0),0)</f>
        <v>0</v>
      </c>
      <c r="M7" s="70"/>
      <c r="N7" s="67">
        <f>Tabla2[[#This Row],[Cantidad]]*Tabla2[[#This Row],[Costo insumo]]</f>
        <v>0</v>
      </c>
      <c r="O7" s="69"/>
      <c r="P7" s="69"/>
      <c r="Q7" s="67">
        <f>IF(AND(Tabla2[[#This Row],[Tipo de insumo]]="PAPEL",Tabla2[[#This Row],[Doble faz]]="SI",Tabla2[[#This Row],[Impresora]]='Insumos y gastos'!$J$6),M7*'Insumos y gastos'!$K$15*2,IF(AND(Tabla2[[#This Row],[Tipo de insumo]]="PAPEL",Tabla2[[#This Row],[Doble faz]]="SI",Tabla2[[#This Row],[Impresora]]='Insumos y gastos'!$L$6),M7*'Insumos y gastos'!$M$15*2,IF(AND(Tabla2[[#This Row],[Tipo de insumo]]="PAPEL",Tabla2[[#This Row],[Doble faz]]="SI",Tabla2[[#This Row],[Impresora]]='Insumos y gastos'!$N$6),M7*'Insumos y gastos'!$O$15*2,IF(AND(Tabla2[[#This Row],[Tipo de insumo]]="PAPEL",Tabla2[[#This Row],[Doble faz]]="SI",Tabla2[[#This Row],[Impresora]]='Insumos y gastos'!$P$6),M7*'Insumos y gastos'!$Q$15*2,IF(AND(Tabla2[[#This Row],[Tipo de insumo]]="PAPEL",Tabla2[[#This Row],[Doble faz]]="SI",Tabla2[[#This Row],[Impresora]]='Insumos y gastos'!$R$6),M7*'Insumos y gastos'!$S$15*2,IF(AND(Tabla2[[#This Row],[Tipo de insumo]]="PAPEL",Tabla2[[#This Row],[Doble faz]]="SI",Tabla2[[#This Row],[Impresora]]='Insumos y gastos'!$T$6),M7*'Insumos y gastos'!$U$15*2,IF(AND(Tabla2[[#This Row],[Tipo de insumo]]="PAPEL",Tabla2[[#This Row],[Doble faz]]="NO",Tabla2[[#This Row],[Impresora]]='Insumos y gastos'!$J$6),M7*'Insumos y gastos'!$K$15,IF(AND(Tabla2[[#This Row],[Tipo de insumo]]="PAPEL",Tabla2[[#This Row],[Doble faz]]="NO",Tabla2[[#This Row],[Impresora]]='Insumos y gastos'!$L$6),M7*'Insumos y gastos'!$M$15,IF(AND(Tabla2[[#This Row],[Tipo de insumo]]="PAPEL",Tabla2[[#This Row],[Doble faz]]="NO",Tabla2[[#This Row],[Impresora]]='Insumos y gastos'!$N$6),M7*'Insumos y gastos'!$O$15,IF(AND(Tabla2[[#This Row],[Tipo de insumo]]="PAPEL",Tabla2[[#This Row],[Doble faz]]="NO",Tabla2[[#This Row],[Impresora]]='Insumos y gastos'!$P$6),M7*'Insumos y gastos'!$Q$15,IF(AND(Tabla2[[#This Row],[Tipo de insumo]]="PAPEL",Tabla2[[#This Row],[Doble faz]]="NO",Tabla2[[#This Row],[Impresora]]='Insumos y gastos'!$R$6),M7*'Insumos y gastos'!$S$15,IF(AND(Tabla2[[#This Row],[Tipo de insumo]]="PAPEL",Tabla2[[#This Row],[Doble faz]]="NO",Tabla2[[#This Row],[Impresora]]='Insumos y gastos'!$T$6),M7*'Insumos y gastos'!$U$15,0))))))))))))</f>
        <v>0</v>
      </c>
      <c r="R7" s="67">
        <f>Tabla2[[#This Row],[Costo impresión]]+Tabla2[[#This Row],[Total costo insumo]]</f>
        <v>0</v>
      </c>
    </row>
    <row r="8" spans="1:18" x14ac:dyDescent="0.25">
      <c r="I8" s="2" t="s">
        <v>39</v>
      </c>
      <c r="J8" s="52"/>
      <c r="K8" s="67">
        <f>IFERROR(VLOOKUP(J8,'Insumos y gastos'!$B$13:$C$83,2,0),"")</f>
        <v>0</v>
      </c>
      <c r="L8" s="67">
        <f>IFERROR(VLOOKUP(J8,Tabla1[[#All],[Nombre insumo]:[Pr. Unidad]],4,0),0)</f>
        <v>0</v>
      </c>
      <c r="M8" s="70"/>
      <c r="N8" s="67">
        <f>Tabla2[[#This Row],[Cantidad]]*Tabla2[[#This Row],[Costo insumo]]</f>
        <v>0</v>
      </c>
      <c r="O8" s="69"/>
      <c r="P8" s="69"/>
      <c r="Q8" s="67">
        <f>IF(AND(Tabla2[[#This Row],[Tipo de insumo]]="PAPEL",Tabla2[[#This Row],[Doble faz]]="SI",Tabla2[[#This Row],[Impresora]]='Insumos y gastos'!$J$6),M8*'Insumos y gastos'!$K$15*2,IF(AND(Tabla2[[#This Row],[Tipo de insumo]]="PAPEL",Tabla2[[#This Row],[Doble faz]]="SI",Tabla2[[#This Row],[Impresora]]='Insumos y gastos'!$L$6),M8*'Insumos y gastos'!$M$15*2,IF(AND(Tabla2[[#This Row],[Tipo de insumo]]="PAPEL",Tabla2[[#This Row],[Doble faz]]="SI",Tabla2[[#This Row],[Impresora]]='Insumos y gastos'!$N$6),M8*'Insumos y gastos'!$O$15*2,IF(AND(Tabla2[[#This Row],[Tipo de insumo]]="PAPEL",Tabla2[[#This Row],[Doble faz]]="SI",Tabla2[[#This Row],[Impresora]]='Insumos y gastos'!$P$6),M8*'Insumos y gastos'!$Q$15*2,IF(AND(Tabla2[[#This Row],[Tipo de insumo]]="PAPEL",Tabla2[[#This Row],[Doble faz]]="SI",Tabla2[[#This Row],[Impresora]]='Insumos y gastos'!$R$6),M8*'Insumos y gastos'!$S$15*2,IF(AND(Tabla2[[#This Row],[Tipo de insumo]]="PAPEL",Tabla2[[#This Row],[Doble faz]]="SI",Tabla2[[#This Row],[Impresora]]='Insumos y gastos'!$T$6),M8*'Insumos y gastos'!$U$15*2,IF(AND(Tabla2[[#This Row],[Tipo de insumo]]="PAPEL",Tabla2[[#This Row],[Doble faz]]="NO",Tabla2[[#This Row],[Impresora]]='Insumos y gastos'!$J$6),M8*'Insumos y gastos'!$K$15,IF(AND(Tabla2[[#This Row],[Tipo de insumo]]="PAPEL",Tabla2[[#This Row],[Doble faz]]="NO",Tabla2[[#This Row],[Impresora]]='Insumos y gastos'!$L$6),M8*'Insumos y gastos'!$M$15,IF(AND(Tabla2[[#This Row],[Tipo de insumo]]="PAPEL",Tabla2[[#This Row],[Doble faz]]="NO",Tabla2[[#This Row],[Impresora]]='Insumos y gastos'!$N$6),M8*'Insumos y gastos'!$O$15,IF(AND(Tabla2[[#This Row],[Tipo de insumo]]="PAPEL",Tabla2[[#This Row],[Doble faz]]="NO",Tabla2[[#This Row],[Impresora]]='Insumos y gastos'!$P$6),M8*'Insumos y gastos'!$Q$15,IF(AND(Tabla2[[#This Row],[Tipo de insumo]]="PAPEL",Tabla2[[#This Row],[Doble faz]]="NO",Tabla2[[#This Row],[Impresora]]='Insumos y gastos'!$R$6),M8*'Insumos y gastos'!$S$15,IF(AND(Tabla2[[#This Row],[Tipo de insumo]]="PAPEL",Tabla2[[#This Row],[Doble faz]]="NO",Tabla2[[#This Row],[Impresora]]='Insumos y gastos'!$T$6),M8*'Insumos y gastos'!$U$15,0))))))))))))</f>
        <v>0</v>
      </c>
      <c r="R8" s="67">
        <f>Tabla2[[#This Row],[Costo impresión]]+Tabla2[[#This Row],[Total costo insumo]]</f>
        <v>0</v>
      </c>
    </row>
    <row r="9" spans="1:18" x14ac:dyDescent="0.25">
      <c r="I9" s="2" t="s">
        <v>40</v>
      </c>
      <c r="J9" s="52"/>
      <c r="K9" s="67">
        <f>IFERROR(VLOOKUP(J9,'Insumos y gastos'!$B$13:$C$83,2,0),"")</f>
        <v>0</v>
      </c>
      <c r="L9" s="67">
        <f>IFERROR(VLOOKUP(J9,Tabla1[[#All],[Nombre insumo]:[Pr. Unidad]],4,0),0)</f>
        <v>0</v>
      </c>
      <c r="M9" s="70"/>
      <c r="N9" s="67">
        <f>Tabla2[[#This Row],[Cantidad]]*Tabla2[[#This Row],[Costo insumo]]</f>
        <v>0</v>
      </c>
      <c r="O9" s="69"/>
      <c r="P9" s="69"/>
      <c r="Q9" s="67">
        <f>IF(AND(Tabla2[[#This Row],[Tipo de insumo]]="PAPEL",Tabla2[[#This Row],[Doble faz]]="SI",Tabla2[[#This Row],[Impresora]]='Insumos y gastos'!$J$6),M9*'Insumos y gastos'!$K$15*2,IF(AND(Tabla2[[#This Row],[Tipo de insumo]]="PAPEL",Tabla2[[#This Row],[Doble faz]]="SI",Tabla2[[#This Row],[Impresora]]='Insumos y gastos'!$L$6),M9*'Insumos y gastos'!$M$15*2,IF(AND(Tabla2[[#This Row],[Tipo de insumo]]="PAPEL",Tabla2[[#This Row],[Doble faz]]="SI",Tabla2[[#This Row],[Impresora]]='Insumos y gastos'!$N$6),M9*'Insumos y gastos'!$O$15*2,IF(AND(Tabla2[[#This Row],[Tipo de insumo]]="PAPEL",Tabla2[[#This Row],[Doble faz]]="SI",Tabla2[[#This Row],[Impresora]]='Insumos y gastos'!$P$6),M9*'Insumos y gastos'!$Q$15*2,IF(AND(Tabla2[[#This Row],[Tipo de insumo]]="PAPEL",Tabla2[[#This Row],[Doble faz]]="SI",Tabla2[[#This Row],[Impresora]]='Insumos y gastos'!$R$6),M9*'Insumos y gastos'!$S$15*2,IF(AND(Tabla2[[#This Row],[Tipo de insumo]]="PAPEL",Tabla2[[#This Row],[Doble faz]]="SI",Tabla2[[#This Row],[Impresora]]='Insumos y gastos'!$T$6),M9*'Insumos y gastos'!$U$15*2,IF(AND(Tabla2[[#This Row],[Tipo de insumo]]="PAPEL",Tabla2[[#This Row],[Doble faz]]="NO",Tabla2[[#This Row],[Impresora]]='Insumos y gastos'!$J$6),M9*'Insumos y gastos'!$K$15,IF(AND(Tabla2[[#This Row],[Tipo de insumo]]="PAPEL",Tabla2[[#This Row],[Doble faz]]="NO",Tabla2[[#This Row],[Impresora]]='Insumos y gastos'!$L$6),M9*'Insumos y gastos'!$M$15,IF(AND(Tabla2[[#This Row],[Tipo de insumo]]="PAPEL",Tabla2[[#This Row],[Doble faz]]="NO",Tabla2[[#This Row],[Impresora]]='Insumos y gastos'!$N$6),M9*'Insumos y gastos'!$O$15,IF(AND(Tabla2[[#This Row],[Tipo de insumo]]="PAPEL",Tabla2[[#This Row],[Doble faz]]="NO",Tabla2[[#This Row],[Impresora]]='Insumos y gastos'!$P$6),M9*'Insumos y gastos'!$Q$15,IF(AND(Tabla2[[#This Row],[Tipo de insumo]]="PAPEL",Tabla2[[#This Row],[Doble faz]]="NO",Tabla2[[#This Row],[Impresora]]='Insumos y gastos'!$R$6),M9*'Insumos y gastos'!$S$15,IF(AND(Tabla2[[#This Row],[Tipo de insumo]]="PAPEL",Tabla2[[#This Row],[Doble faz]]="NO",Tabla2[[#This Row],[Impresora]]='Insumos y gastos'!$T$6),M9*'Insumos y gastos'!$U$15,0))))))))))))</f>
        <v>0</v>
      </c>
      <c r="R9" s="67">
        <f>Tabla2[[#This Row],[Costo impresión]]+Tabla2[[#This Row],[Total costo insumo]]</f>
        <v>0</v>
      </c>
    </row>
    <row r="10" spans="1:18" x14ac:dyDescent="0.25">
      <c r="I10" s="2" t="s">
        <v>53</v>
      </c>
      <c r="J10" s="52"/>
      <c r="K10" s="67">
        <f>IFERROR(VLOOKUP(J10,'Insumos y gastos'!$B$13:$C$83,2,0),"")</f>
        <v>0</v>
      </c>
      <c r="L10" s="67">
        <f>IFERROR(VLOOKUP(J10,Tabla1[[#All],[Nombre insumo]:[Pr. Unidad]],4,0),0)</f>
        <v>0</v>
      </c>
      <c r="M10" s="70"/>
      <c r="N10" s="67">
        <f>Tabla2[[#This Row],[Cantidad]]*Tabla2[[#This Row],[Costo insumo]]</f>
        <v>0</v>
      </c>
      <c r="O10" s="69"/>
      <c r="P10" s="69"/>
      <c r="Q10" s="67">
        <f>IF(AND(Tabla2[[#This Row],[Tipo de insumo]]="PAPEL",Tabla2[[#This Row],[Doble faz]]="SI",Tabla2[[#This Row],[Impresora]]='Insumos y gastos'!$J$6),M10*'Insumos y gastos'!$K$15*2,IF(AND(Tabla2[[#This Row],[Tipo de insumo]]="PAPEL",Tabla2[[#This Row],[Doble faz]]="SI",Tabla2[[#This Row],[Impresora]]='Insumos y gastos'!$L$6),M10*'Insumos y gastos'!$M$15*2,IF(AND(Tabla2[[#This Row],[Tipo de insumo]]="PAPEL",Tabla2[[#This Row],[Doble faz]]="SI",Tabla2[[#This Row],[Impresora]]='Insumos y gastos'!$N$6),M10*'Insumos y gastos'!$O$15*2,IF(AND(Tabla2[[#This Row],[Tipo de insumo]]="PAPEL",Tabla2[[#This Row],[Doble faz]]="SI",Tabla2[[#This Row],[Impresora]]='Insumos y gastos'!$P$6),M10*'Insumos y gastos'!$Q$15*2,IF(AND(Tabla2[[#This Row],[Tipo de insumo]]="PAPEL",Tabla2[[#This Row],[Doble faz]]="SI",Tabla2[[#This Row],[Impresora]]='Insumos y gastos'!$R$6),M10*'Insumos y gastos'!$S$15*2,IF(AND(Tabla2[[#This Row],[Tipo de insumo]]="PAPEL",Tabla2[[#This Row],[Doble faz]]="SI",Tabla2[[#This Row],[Impresora]]='Insumos y gastos'!$T$6),M10*'Insumos y gastos'!$U$15*2,IF(AND(Tabla2[[#This Row],[Tipo de insumo]]="PAPEL",Tabla2[[#This Row],[Doble faz]]="NO",Tabla2[[#This Row],[Impresora]]='Insumos y gastos'!$J$6),M10*'Insumos y gastos'!$K$15,IF(AND(Tabla2[[#This Row],[Tipo de insumo]]="PAPEL",Tabla2[[#This Row],[Doble faz]]="NO",Tabla2[[#This Row],[Impresora]]='Insumos y gastos'!$L$6),M10*'Insumos y gastos'!$M$15,IF(AND(Tabla2[[#This Row],[Tipo de insumo]]="PAPEL",Tabla2[[#This Row],[Doble faz]]="NO",Tabla2[[#This Row],[Impresora]]='Insumos y gastos'!$N$6),M10*'Insumos y gastos'!$O$15,IF(AND(Tabla2[[#This Row],[Tipo de insumo]]="PAPEL",Tabla2[[#This Row],[Doble faz]]="NO",Tabla2[[#This Row],[Impresora]]='Insumos y gastos'!$P$6),M10*'Insumos y gastos'!$Q$15,IF(AND(Tabla2[[#This Row],[Tipo de insumo]]="PAPEL",Tabla2[[#This Row],[Doble faz]]="NO",Tabla2[[#This Row],[Impresora]]='Insumos y gastos'!$R$6),M10*'Insumos y gastos'!$S$15,IF(AND(Tabla2[[#This Row],[Tipo de insumo]]="PAPEL",Tabla2[[#This Row],[Doble faz]]="NO",Tabla2[[#This Row],[Impresora]]='Insumos y gastos'!$T$6),M10*'Insumos y gastos'!$U$15,0))))))))))))</f>
        <v>0</v>
      </c>
      <c r="R10" s="67">
        <f>Tabla2[[#This Row],[Costo impresión]]+Tabla2[[#This Row],[Total costo insumo]]</f>
        <v>0</v>
      </c>
    </row>
    <row r="11" spans="1:18" x14ac:dyDescent="0.25">
      <c r="J11" s="52"/>
      <c r="K11" s="67">
        <f>IFERROR(VLOOKUP(J11,'Insumos y gastos'!$B$13:$C$83,2,0),"")</f>
        <v>0</v>
      </c>
      <c r="L11" s="67">
        <f>IFERROR(VLOOKUP(J11,Tabla1[[#All],[Nombre insumo]:[Pr. Unidad]],4,0),0)</f>
        <v>0</v>
      </c>
      <c r="M11" s="70"/>
      <c r="N11" s="67">
        <f>Tabla2[[#This Row],[Cantidad]]*Tabla2[[#This Row],[Costo insumo]]</f>
        <v>0</v>
      </c>
      <c r="O11" s="69"/>
      <c r="P11" s="69"/>
      <c r="Q11" s="67">
        <f>IF(AND(Tabla2[[#This Row],[Tipo de insumo]]="PAPEL",Tabla2[[#This Row],[Doble faz]]="SI",Tabla2[[#This Row],[Impresora]]='Insumos y gastos'!$J$6),M11*'Insumos y gastos'!$K$15*2,IF(AND(Tabla2[[#This Row],[Tipo de insumo]]="PAPEL",Tabla2[[#This Row],[Doble faz]]="SI",Tabla2[[#This Row],[Impresora]]='Insumos y gastos'!$L$6),M11*'Insumos y gastos'!$M$15*2,IF(AND(Tabla2[[#This Row],[Tipo de insumo]]="PAPEL",Tabla2[[#This Row],[Doble faz]]="SI",Tabla2[[#This Row],[Impresora]]='Insumos y gastos'!$N$6),M11*'Insumos y gastos'!$O$15*2,IF(AND(Tabla2[[#This Row],[Tipo de insumo]]="PAPEL",Tabla2[[#This Row],[Doble faz]]="SI",Tabla2[[#This Row],[Impresora]]='Insumos y gastos'!$P$6),M11*'Insumos y gastos'!$Q$15*2,IF(AND(Tabla2[[#This Row],[Tipo de insumo]]="PAPEL",Tabla2[[#This Row],[Doble faz]]="SI",Tabla2[[#This Row],[Impresora]]='Insumos y gastos'!$R$6),M11*'Insumos y gastos'!$S$15*2,IF(AND(Tabla2[[#This Row],[Tipo de insumo]]="PAPEL",Tabla2[[#This Row],[Doble faz]]="SI",Tabla2[[#This Row],[Impresora]]='Insumos y gastos'!$T$6),M11*'Insumos y gastos'!$U$15*2,IF(AND(Tabla2[[#This Row],[Tipo de insumo]]="PAPEL",Tabla2[[#This Row],[Doble faz]]="NO",Tabla2[[#This Row],[Impresora]]='Insumos y gastos'!$J$6),M11*'Insumos y gastos'!$K$15,IF(AND(Tabla2[[#This Row],[Tipo de insumo]]="PAPEL",Tabla2[[#This Row],[Doble faz]]="NO",Tabla2[[#This Row],[Impresora]]='Insumos y gastos'!$L$6),M11*'Insumos y gastos'!$M$15,IF(AND(Tabla2[[#This Row],[Tipo de insumo]]="PAPEL",Tabla2[[#This Row],[Doble faz]]="NO",Tabla2[[#This Row],[Impresora]]='Insumos y gastos'!$N$6),M11*'Insumos y gastos'!$O$15,IF(AND(Tabla2[[#This Row],[Tipo de insumo]]="PAPEL",Tabla2[[#This Row],[Doble faz]]="NO",Tabla2[[#This Row],[Impresora]]='Insumos y gastos'!$P$6),M11*'Insumos y gastos'!$Q$15,IF(AND(Tabla2[[#This Row],[Tipo de insumo]]="PAPEL",Tabla2[[#This Row],[Doble faz]]="NO",Tabla2[[#This Row],[Impresora]]='Insumos y gastos'!$R$6),M11*'Insumos y gastos'!$S$15,IF(AND(Tabla2[[#This Row],[Tipo de insumo]]="PAPEL",Tabla2[[#This Row],[Doble faz]]="NO",Tabla2[[#This Row],[Impresora]]='Insumos y gastos'!$T$6),M11*'Insumos y gastos'!$U$15,0))))))))))))</f>
        <v>0</v>
      </c>
      <c r="R11" s="67">
        <f>Tabla2[[#This Row],[Costo impresión]]+Tabla2[[#This Row],[Total costo insumo]]</f>
        <v>0</v>
      </c>
    </row>
    <row r="12" spans="1:18" x14ac:dyDescent="0.25">
      <c r="J12" s="52"/>
      <c r="K12" s="67">
        <f>IFERROR(VLOOKUP(J12,'Insumos y gastos'!$B$13:$C$83,2,0),"")</f>
        <v>0</v>
      </c>
      <c r="L12" s="67">
        <f>IFERROR(VLOOKUP(J12,Tabla1[[#All],[Nombre insumo]:[Pr. Unidad]],4,0),0)</f>
        <v>0</v>
      </c>
      <c r="M12" s="70"/>
      <c r="N12" s="67">
        <f>Tabla2[[#This Row],[Cantidad]]*Tabla2[[#This Row],[Costo insumo]]</f>
        <v>0</v>
      </c>
      <c r="O12" s="69"/>
      <c r="P12" s="69"/>
      <c r="Q12" s="67">
        <f>IF(AND(Tabla2[[#This Row],[Tipo de insumo]]="PAPEL",Tabla2[[#This Row],[Doble faz]]="SI",Tabla2[[#This Row],[Impresora]]='Insumos y gastos'!$J$6),M12*'Insumos y gastos'!$K$15*2,IF(AND(Tabla2[[#This Row],[Tipo de insumo]]="PAPEL",Tabla2[[#This Row],[Doble faz]]="SI",Tabla2[[#This Row],[Impresora]]='Insumos y gastos'!$L$6),M12*'Insumos y gastos'!$M$15*2,IF(AND(Tabla2[[#This Row],[Tipo de insumo]]="PAPEL",Tabla2[[#This Row],[Doble faz]]="SI",Tabla2[[#This Row],[Impresora]]='Insumos y gastos'!$N$6),M12*'Insumos y gastos'!$O$15*2,IF(AND(Tabla2[[#This Row],[Tipo de insumo]]="PAPEL",Tabla2[[#This Row],[Doble faz]]="SI",Tabla2[[#This Row],[Impresora]]='Insumos y gastos'!$P$6),M12*'Insumos y gastos'!$Q$15*2,IF(AND(Tabla2[[#This Row],[Tipo de insumo]]="PAPEL",Tabla2[[#This Row],[Doble faz]]="SI",Tabla2[[#This Row],[Impresora]]='Insumos y gastos'!$R$6),M12*'Insumos y gastos'!$S$15*2,IF(AND(Tabla2[[#This Row],[Tipo de insumo]]="PAPEL",Tabla2[[#This Row],[Doble faz]]="SI",Tabla2[[#This Row],[Impresora]]='Insumos y gastos'!$T$6),M12*'Insumos y gastos'!$U$15*2,IF(AND(Tabla2[[#This Row],[Tipo de insumo]]="PAPEL",Tabla2[[#This Row],[Doble faz]]="NO",Tabla2[[#This Row],[Impresora]]='Insumos y gastos'!$J$6),M12*'Insumos y gastos'!$K$15,IF(AND(Tabla2[[#This Row],[Tipo de insumo]]="PAPEL",Tabla2[[#This Row],[Doble faz]]="NO",Tabla2[[#This Row],[Impresora]]='Insumos y gastos'!$L$6),M12*'Insumos y gastos'!$M$15,IF(AND(Tabla2[[#This Row],[Tipo de insumo]]="PAPEL",Tabla2[[#This Row],[Doble faz]]="NO",Tabla2[[#This Row],[Impresora]]='Insumos y gastos'!$N$6),M12*'Insumos y gastos'!$O$15,IF(AND(Tabla2[[#This Row],[Tipo de insumo]]="PAPEL",Tabla2[[#This Row],[Doble faz]]="NO",Tabla2[[#This Row],[Impresora]]='Insumos y gastos'!$P$6),M12*'Insumos y gastos'!$Q$15,IF(AND(Tabla2[[#This Row],[Tipo de insumo]]="PAPEL",Tabla2[[#This Row],[Doble faz]]="NO",Tabla2[[#This Row],[Impresora]]='Insumos y gastos'!$R$6),M12*'Insumos y gastos'!$S$15,IF(AND(Tabla2[[#This Row],[Tipo de insumo]]="PAPEL",Tabla2[[#This Row],[Doble faz]]="NO",Tabla2[[#This Row],[Impresora]]='Insumos y gastos'!$T$6),M12*'Insumos y gastos'!$U$15,0))))))))))))</f>
        <v>0</v>
      </c>
      <c r="R12" s="67">
        <f>Tabla2[[#This Row],[Costo impresión]]+Tabla2[[#This Row],[Total costo insumo]]</f>
        <v>0</v>
      </c>
    </row>
    <row r="13" spans="1:18" x14ac:dyDescent="0.25">
      <c r="J13" s="52"/>
      <c r="K13" s="67">
        <f>IFERROR(VLOOKUP(J13,'Insumos y gastos'!$B$13:$C$83,2,0),"")</f>
        <v>0</v>
      </c>
      <c r="L13" s="67">
        <f>IFERROR(VLOOKUP(J13,Tabla1[[#All],[Nombre insumo]:[Pr. Unidad]],4,0),0)</f>
        <v>0</v>
      </c>
      <c r="M13" s="70"/>
      <c r="N13" s="67">
        <f>Tabla2[[#This Row],[Cantidad]]*Tabla2[[#This Row],[Costo insumo]]</f>
        <v>0</v>
      </c>
      <c r="O13" s="69"/>
      <c r="P13" s="69"/>
      <c r="Q13" s="67">
        <f>IF(AND(Tabla2[[#This Row],[Tipo de insumo]]="PAPEL",Tabla2[[#This Row],[Doble faz]]="SI",Tabla2[[#This Row],[Impresora]]='Insumos y gastos'!$J$6),M13*'Insumos y gastos'!$K$15*2,IF(AND(Tabla2[[#This Row],[Tipo de insumo]]="PAPEL",Tabla2[[#This Row],[Doble faz]]="SI",Tabla2[[#This Row],[Impresora]]='Insumos y gastos'!$L$6),M13*'Insumos y gastos'!$M$15*2,IF(AND(Tabla2[[#This Row],[Tipo de insumo]]="PAPEL",Tabla2[[#This Row],[Doble faz]]="SI",Tabla2[[#This Row],[Impresora]]='Insumos y gastos'!$N$6),M13*'Insumos y gastos'!$O$15*2,IF(AND(Tabla2[[#This Row],[Tipo de insumo]]="PAPEL",Tabla2[[#This Row],[Doble faz]]="SI",Tabla2[[#This Row],[Impresora]]='Insumos y gastos'!$P$6),M13*'Insumos y gastos'!$Q$15*2,IF(AND(Tabla2[[#This Row],[Tipo de insumo]]="PAPEL",Tabla2[[#This Row],[Doble faz]]="SI",Tabla2[[#This Row],[Impresora]]='Insumos y gastos'!$R$6),M13*'Insumos y gastos'!$S$15*2,IF(AND(Tabla2[[#This Row],[Tipo de insumo]]="PAPEL",Tabla2[[#This Row],[Doble faz]]="SI",Tabla2[[#This Row],[Impresora]]='Insumos y gastos'!$T$6),M13*'Insumos y gastos'!$U$15*2,IF(AND(Tabla2[[#This Row],[Tipo de insumo]]="PAPEL",Tabla2[[#This Row],[Doble faz]]="NO",Tabla2[[#This Row],[Impresora]]='Insumos y gastos'!$J$6),M13*'Insumos y gastos'!$K$15,IF(AND(Tabla2[[#This Row],[Tipo de insumo]]="PAPEL",Tabla2[[#This Row],[Doble faz]]="NO",Tabla2[[#This Row],[Impresora]]='Insumos y gastos'!$L$6),M13*'Insumos y gastos'!$M$15,IF(AND(Tabla2[[#This Row],[Tipo de insumo]]="PAPEL",Tabla2[[#This Row],[Doble faz]]="NO",Tabla2[[#This Row],[Impresora]]='Insumos y gastos'!$N$6),M13*'Insumos y gastos'!$O$15,IF(AND(Tabla2[[#This Row],[Tipo de insumo]]="PAPEL",Tabla2[[#This Row],[Doble faz]]="NO",Tabla2[[#This Row],[Impresora]]='Insumos y gastos'!$P$6),M13*'Insumos y gastos'!$Q$15,IF(AND(Tabla2[[#This Row],[Tipo de insumo]]="PAPEL",Tabla2[[#This Row],[Doble faz]]="NO",Tabla2[[#This Row],[Impresora]]='Insumos y gastos'!$R$6),M13*'Insumos y gastos'!$S$15,IF(AND(Tabla2[[#This Row],[Tipo de insumo]]="PAPEL",Tabla2[[#This Row],[Doble faz]]="NO",Tabla2[[#This Row],[Impresora]]='Insumos y gastos'!$T$6),M13*'Insumos y gastos'!$U$15,0))))))))))))</f>
        <v>0</v>
      </c>
      <c r="R13" s="67">
        <f>Tabla2[[#This Row],[Costo impresión]]+Tabla2[[#This Row],[Total costo insumo]]</f>
        <v>0</v>
      </c>
    </row>
    <row r="14" spans="1:18" x14ac:dyDescent="0.25">
      <c r="J14" s="52"/>
      <c r="K14" s="67">
        <f>IFERROR(VLOOKUP(J14,'Insumos y gastos'!$B$13:$C$83,2,0),"")</f>
        <v>0</v>
      </c>
      <c r="L14" s="67">
        <f>IFERROR(VLOOKUP(J14,Tabla1[[#All],[Nombre insumo]:[Pr. Unidad]],4,0),0)</f>
        <v>0</v>
      </c>
      <c r="M14" s="70"/>
      <c r="N14" s="67">
        <f>Tabla2[[#This Row],[Cantidad]]*Tabla2[[#This Row],[Costo insumo]]</f>
        <v>0</v>
      </c>
      <c r="O14" s="69"/>
      <c r="P14" s="69"/>
      <c r="Q14" s="67">
        <f>IF(AND(Tabla2[[#This Row],[Tipo de insumo]]="PAPEL",Tabla2[[#This Row],[Doble faz]]="SI",Tabla2[[#This Row],[Impresora]]='Insumos y gastos'!$J$6),M14*'Insumos y gastos'!$K$15*2,IF(AND(Tabla2[[#This Row],[Tipo de insumo]]="PAPEL",Tabla2[[#This Row],[Doble faz]]="SI",Tabla2[[#This Row],[Impresora]]='Insumos y gastos'!$L$6),M14*'Insumos y gastos'!$M$15*2,IF(AND(Tabla2[[#This Row],[Tipo de insumo]]="PAPEL",Tabla2[[#This Row],[Doble faz]]="SI",Tabla2[[#This Row],[Impresora]]='Insumos y gastos'!$N$6),M14*'Insumos y gastos'!$O$15*2,IF(AND(Tabla2[[#This Row],[Tipo de insumo]]="PAPEL",Tabla2[[#This Row],[Doble faz]]="SI",Tabla2[[#This Row],[Impresora]]='Insumos y gastos'!$P$6),M14*'Insumos y gastos'!$Q$15*2,IF(AND(Tabla2[[#This Row],[Tipo de insumo]]="PAPEL",Tabla2[[#This Row],[Doble faz]]="SI",Tabla2[[#This Row],[Impresora]]='Insumos y gastos'!$R$6),M14*'Insumos y gastos'!$S$15*2,IF(AND(Tabla2[[#This Row],[Tipo de insumo]]="PAPEL",Tabla2[[#This Row],[Doble faz]]="SI",Tabla2[[#This Row],[Impresora]]='Insumos y gastos'!$T$6),M14*'Insumos y gastos'!$U$15*2,IF(AND(Tabla2[[#This Row],[Tipo de insumo]]="PAPEL",Tabla2[[#This Row],[Doble faz]]="NO",Tabla2[[#This Row],[Impresora]]='Insumos y gastos'!$J$6),M14*'Insumos y gastos'!$K$15,IF(AND(Tabla2[[#This Row],[Tipo de insumo]]="PAPEL",Tabla2[[#This Row],[Doble faz]]="NO",Tabla2[[#This Row],[Impresora]]='Insumos y gastos'!$L$6),M14*'Insumos y gastos'!$M$15,IF(AND(Tabla2[[#This Row],[Tipo de insumo]]="PAPEL",Tabla2[[#This Row],[Doble faz]]="NO",Tabla2[[#This Row],[Impresora]]='Insumos y gastos'!$N$6),M14*'Insumos y gastos'!$O$15,IF(AND(Tabla2[[#This Row],[Tipo de insumo]]="PAPEL",Tabla2[[#This Row],[Doble faz]]="NO",Tabla2[[#This Row],[Impresora]]='Insumos y gastos'!$P$6),M14*'Insumos y gastos'!$Q$15,IF(AND(Tabla2[[#This Row],[Tipo de insumo]]="PAPEL",Tabla2[[#This Row],[Doble faz]]="NO",Tabla2[[#This Row],[Impresora]]='Insumos y gastos'!$R$6),M14*'Insumos y gastos'!$S$15,IF(AND(Tabla2[[#This Row],[Tipo de insumo]]="PAPEL",Tabla2[[#This Row],[Doble faz]]="NO",Tabla2[[#This Row],[Impresora]]='Insumos y gastos'!$T$6),M14*'Insumos y gastos'!$U$15,0))))))))))))</f>
        <v>0</v>
      </c>
      <c r="R14" s="67">
        <f>Tabla2[[#This Row],[Costo impresión]]+Tabla2[[#This Row],[Total costo insumo]]</f>
        <v>0</v>
      </c>
    </row>
    <row r="15" spans="1:18" x14ac:dyDescent="0.25">
      <c r="J15" s="52"/>
      <c r="K15" s="67">
        <f>IFERROR(VLOOKUP(J15,'Insumos y gastos'!$B$13:$C$83,2,0),"")</f>
        <v>0</v>
      </c>
      <c r="L15" s="67">
        <f>IFERROR(VLOOKUP(J15,Tabla1[[#All],[Nombre insumo]:[Pr. Unidad]],4,0),0)</f>
        <v>0</v>
      </c>
      <c r="M15" s="70"/>
      <c r="N15" s="67">
        <f>Tabla2[[#This Row],[Cantidad]]*Tabla2[[#This Row],[Costo insumo]]</f>
        <v>0</v>
      </c>
      <c r="O15" s="69"/>
      <c r="P15" s="69"/>
      <c r="Q15" s="67">
        <f>IF(AND(Tabla2[[#This Row],[Tipo de insumo]]="PAPEL",Tabla2[[#This Row],[Doble faz]]="SI",Tabla2[[#This Row],[Impresora]]='Insumos y gastos'!$J$6),M15*'Insumos y gastos'!$K$15*2,IF(AND(Tabla2[[#This Row],[Tipo de insumo]]="PAPEL",Tabla2[[#This Row],[Doble faz]]="SI",Tabla2[[#This Row],[Impresora]]='Insumos y gastos'!$L$6),M15*'Insumos y gastos'!$M$15*2,IF(AND(Tabla2[[#This Row],[Tipo de insumo]]="PAPEL",Tabla2[[#This Row],[Doble faz]]="SI",Tabla2[[#This Row],[Impresora]]='Insumos y gastos'!$N$6),M15*'Insumos y gastos'!$O$15*2,IF(AND(Tabla2[[#This Row],[Tipo de insumo]]="PAPEL",Tabla2[[#This Row],[Doble faz]]="SI",Tabla2[[#This Row],[Impresora]]='Insumos y gastos'!$P$6),M15*'Insumos y gastos'!$Q$15*2,IF(AND(Tabla2[[#This Row],[Tipo de insumo]]="PAPEL",Tabla2[[#This Row],[Doble faz]]="SI",Tabla2[[#This Row],[Impresora]]='Insumos y gastos'!$R$6),M15*'Insumos y gastos'!$S$15*2,IF(AND(Tabla2[[#This Row],[Tipo de insumo]]="PAPEL",Tabla2[[#This Row],[Doble faz]]="SI",Tabla2[[#This Row],[Impresora]]='Insumos y gastos'!$T$6),M15*'Insumos y gastos'!$U$15*2,IF(AND(Tabla2[[#This Row],[Tipo de insumo]]="PAPEL",Tabla2[[#This Row],[Doble faz]]="NO",Tabla2[[#This Row],[Impresora]]='Insumos y gastos'!$J$6),M15*'Insumos y gastos'!$K$15,IF(AND(Tabla2[[#This Row],[Tipo de insumo]]="PAPEL",Tabla2[[#This Row],[Doble faz]]="NO",Tabla2[[#This Row],[Impresora]]='Insumos y gastos'!$L$6),M15*'Insumos y gastos'!$M$15,IF(AND(Tabla2[[#This Row],[Tipo de insumo]]="PAPEL",Tabla2[[#This Row],[Doble faz]]="NO",Tabla2[[#This Row],[Impresora]]='Insumos y gastos'!$N$6),M15*'Insumos y gastos'!$O$15,IF(AND(Tabla2[[#This Row],[Tipo de insumo]]="PAPEL",Tabla2[[#This Row],[Doble faz]]="NO",Tabla2[[#This Row],[Impresora]]='Insumos y gastos'!$P$6),M15*'Insumos y gastos'!$Q$15,IF(AND(Tabla2[[#This Row],[Tipo de insumo]]="PAPEL",Tabla2[[#This Row],[Doble faz]]="NO",Tabla2[[#This Row],[Impresora]]='Insumos y gastos'!$R$6),M15*'Insumos y gastos'!$S$15,IF(AND(Tabla2[[#This Row],[Tipo de insumo]]="PAPEL",Tabla2[[#This Row],[Doble faz]]="NO",Tabla2[[#This Row],[Impresora]]='Insumos y gastos'!$T$6),M15*'Insumos y gastos'!$U$15,0))))))))))))</f>
        <v>0</v>
      </c>
      <c r="R15" s="67">
        <f>Tabla2[[#This Row],[Costo impresión]]+Tabla2[[#This Row],[Total costo insumo]]</f>
        <v>0</v>
      </c>
    </row>
    <row r="16" spans="1:18" x14ac:dyDescent="0.25">
      <c r="J16" s="52"/>
      <c r="K16" s="67">
        <f>IFERROR(VLOOKUP(J16,'Insumos y gastos'!$B$13:$C$83,2,0),"")</f>
        <v>0</v>
      </c>
      <c r="L16" s="67">
        <f>IFERROR(VLOOKUP(J16,Tabla1[[#All],[Nombre insumo]:[Pr. Unidad]],4,0),0)</f>
        <v>0</v>
      </c>
      <c r="M16" s="70"/>
      <c r="N16" s="67">
        <f>Tabla2[[#This Row],[Cantidad]]*Tabla2[[#This Row],[Costo insumo]]</f>
        <v>0</v>
      </c>
      <c r="O16" s="69"/>
      <c r="P16" s="69"/>
      <c r="Q16" s="67">
        <f>IF(AND(Tabla2[[#This Row],[Tipo de insumo]]="PAPEL",Tabla2[[#This Row],[Doble faz]]="SI",Tabla2[[#This Row],[Impresora]]='Insumos y gastos'!$J$6),M16*'Insumos y gastos'!$K$15*2,IF(AND(Tabla2[[#This Row],[Tipo de insumo]]="PAPEL",Tabla2[[#This Row],[Doble faz]]="SI",Tabla2[[#This Row],[Impresora]]='Insumos y gastos'!$L$6),M16*'Insumos y gastos'!$M$15*2,IF(AND(Tabla2[[#This Row],[Tipo de insumo]]="PAPEL",Tabla2[[#This Row],[Doble faz]]="SI",Tabla2[[#This Row],[Impresora]]='Insumos y gastos'!$N$6),M16*'Insumos y gastos'!$O$15*2,IF(AND(Tabla2[[#This Row],[Tipo de insumo]]="PAPEL",Tabla2[[#This Row],[Doble faz]]="SI",Tabla2[[#This Row],[Impresora]]='Insumos y gastos'!$P$6),M16*'Insumos y gastos'!$Q$15*2,IF(AND(Tabla2[[#This Row],[Tipo de insumo]]="PAPEL",Tabla2[[#This Row],[Doble faz]]="SI",Tabla2[[#This Row],[Impresora]]='Insumos y gastos'!$R$6),M16*'Insumos y gastos'!$S$15*2,IF(AND(Tabla2[[#This Row],[Tipo de insumo]]="PAPEL",Tabla2[[#This Row],[Doble faz]]="SI",Tabla2[[#This Row],[Impresora]]='Insumos y gastos'!$T$6),M16*'Insumos y gastos'!$U$15*2,IF(AND(Tabla2[[#This Row],[Tipo de insumo]]="PAPEL",Tabla2[[#This Row],[Doble faz]]="NO",Tabla2[[#This Row],[Impresora]]='Insumos y gastos'!$J$6),M16*'Insumos y gastos'!$K$15,IF(AND(Tabla2[[#This Row],[Tipo de insumo]]="PAPEL",Tabla2[[#This Row],[Doble faz]]="NO",Tabla2[[#This Row],[Impresora]]='Insumos y gastos'!$L$6),M16*'Insumos y gastos'!$M$15,IF(AND(Tabla2[[#This Row],[Tipo de insumo]]="PAPEL",Tabla2[[#This Row],[Doble faz]]="NO",Tabla2[[#This Row],[Impresora]]='Insumos y gastos'!$N$6),M16*'Insumos y gastos'!$O$15,IF(AND(Tabla2[[#This Row],[Tipo de insumo]]="PAPEL",Tabla2[[#This Row],[Doble faz]]="NO",Tabla2[[#This Row],[Impresora]]='Insumos y gastos'!$P$6),M16*'Insumos y gastos'!$Q$15,IF(AND(Tabla2[[#This Row],[Tipo de insumo]]="PAPEL",Tabla2[[#This Row],[Doble faz]]="NO",Tabla2[[#This Row],[Impresora]]='Insumos y gastos'!$R$6),M16*'Insumos y gastos'!$S$15,IF(AND(Tabla2[[#This Row],[Tipo de insumo]]="PAPEL",Tabla2[[#This Row],[Doble faz]]="NO",Tabla2[[#This Row],[Impresora]]='Insumos y gastos'!$T$6),M16*'Insumos y gastos'!$U$15,0))))))))))))</f>
        <v>0</v>
      </c>
      <c r="R16" s="67">
        <f>Tabla2[[#This Row],[Costo impresión]]+Tabla2[[#This Row],[Total costo insumo]]</f>
        <v>0</v>
      </c>
    </row>
    <row r="17" spans="10:18" x14ac:dyDescent="0.25">
      <c r="J17" s="52"/>
      <c r="K17" s="67">
        <f>IFERROR(VLOOKUP(J17,'Insumos y gastos'!$B$13:$C$83,2,0),"")</f>
        <v>0</v>
      </c>
      <c r="L17" s="67">
        <f>IFERROR(VLOOKUP(J17,Tabla1[[#All],[Nombre insumo]:[Pr. Unidad]],4,0),0)</f>
        <v>0</v>
      </c>
      <c r="M17" s="70"/>
      <c r="N17" s="67">
        <f>Tabla2[[#This Row],[Cantidad]]*Tabla2[[#This Row],[Costo insumo]]</f>
        <v>0</v>
      </c>
      <c r="O17" s="69"/>
      <c r="P17" s="69"/>
      <c r="Q17" s="67">
        <f>IF(AND(Tabla2[[#This Row],[Tipo de insumo]]="PAPEL",Tabla2[[#This Row],[Doble faz]]="SI",Tabla2[[#This Row],[Impresora]]='Insumos y gastos'!$J$6),M17*'Insumos y gastos'!$K$15*2,IF(AND(Tabla2[[#This Row],[Tipo de insumo]]="PAPEL",Tabla2[[#This Row],[Doble faz]]="SI",Tabla2[[#This Row],[Impresora]]='Insumos y gastos'!$L$6),M17*'Insumos y gastos'!$M$15*2,IF(AND(Tabla2[[#This Row],[Tipo de insumo]]="PAPEL",Tabla2[[#This Row],[Doble faz]]="SI",Tabla2[[#This Row],[Impresora]]='Insumos y gastos'!$N$6),M17*'Insumos y gastos'!$O$15*2,IF(AND(Tabla2[[#This Row],[Tipo de insumo]]="PAPEL",Tabla2[[#This Row],[Doble faz]]="SI",Tabla2[[#This Row],[Impresora]]='Insumos y gastos'!$P$6),M17*'Insumos y gastos'!$Q$15*2,IF(AND(Tabla2[[#This Row],[Tipo de insumo]]="PAPEL",Tabla2[[#This Row],[Doble faz]]="SI",Tabla2[[#This Row],[Impresora]]='Insumos y gastos'!$R$6),M17*'Insumos y gastos'!$S$15*2,IF(AND(Tabla2[[#This Row],[Tipo de insumo]]="PAPEL",Tabla2[[#This Row],[Doble faz]]="SI",Tabla2[[#This Row],[Impresora]]='Insumos y gastos'!$T$6),M17*'Insumos y gastos'!$U$15*2,IF(AND(Tabla2[[#This Row],[Tipo de insumo]]="PAPEL",Tabla2[[#This Row],[Doble faz]]="NO",Tabla2[[#This Row],[Impresora]]='Insumos y gastos'!$J$6),M17*'Insumos y gastos'!$K$15,IF(AND(Tabla2[[#This Row],[Tipo de insumo]]="PAPEL",Tabla2[[#This Row],[Doble faz]]="NO",Tabla2[[#This Row],[Impresora]]='Insumos y gastos'!$L$6),M17*'Insumos y gastos'!$M$15,IF(AND(Tabla2[[#This Row],[Tipo de insumo]]="PAPEL",Tabla2[[#This Row],[Doble faz]]="NO",Tabla2[[#This Row],[Impresora]]='Insumos y gastos'!$N$6),M17*'Insumos y gastos'!$O$15,IF(AND(Tabla2[[#This Row],[Tipo de insumo]]="PAPEL",Tabla2[[#This Row],[Doble faz]]="NO",Tabla2[[#This Row],[Impresora]]='Insumos y gastos'!$P$6),M17*'Insumos y gastos'!$Q$15,IF(AND(Tabla2[[#This Row],[Tipo de insumo]]="PAPEL",Tabla2[[#This Row],[Doble faz]]="NO",Tabla2[[#This Row],[Impresora]]='Insumos y gastos'!$R$6),M17*'Insumos y gastos'!$S$15,IF(AND(Tabla2[[#This Row],[Tipo de insumo]]="PAPEL",Tabla2[[#This Row],[Doble faz]]="NO",Tabla2[[#This Row],[Impresora]]='Insumos y gastos'!$T$6),M17*'Insumos y gastos'!$U$15,0))))))))))))</f>
        <v>0</v>
      </c>
      <c r="R17" s="67">
        <f>Tabla2[[#This Row],[Costo impresión]]+Tabla2[[#This Row],[Total costo insumo]]</f>
        <v>0</v>
      </c>
    </row>
    <row r="18" spans="10:18" x14ac:dyDescent="0.25">
      <c r="J18" s="52"/>
      <c r="K18" s="67">
        <f>IFERROR(VLOOKUP(J18,'Insumos y gastos'!$B$13:$C$83,2,0),"")</f>
        <v>0</v>
      </c>
      <c r="L18" s="67">
        <f>IFERROR(VLOOKUP(J18,Tabla1[[#All],[Nombre insumo]:[Pr. Unidad]],4,0),0)</f>
        <v>0</v>
      </c>
      <c r="M18" s="70"/>
      <c r="N18" s="67">
        <f>Tabla2[[#This Row],[Cantidad]]*Tabla2[[#This Row],[Costo insumo]]</f>
        <v>0</v>
      </c>
      <c r="O18" s="69"/>
      <c r="P18" s="69"/>
      <c r="Q18" s="67">
        <f>IF(AND(Tabla2[[#This Row],[Tipo de insumo]]="PAPEL",Tabla2[[#This Row],[Doble faz]]="SI",Tabla2[[#This Row],[Impresora]]='Insumos y gastos'!$J$6),M18*'Insumos y gastos'!$K$15*2,IF(AND(Tabla2[[#This Row],[Tipo de insumo]]="PAPEL",Tabla2[[#This Row],[Doble faz]]="SI",Tabla2[[#This Row],[Impresora]]='Insumos y gastos'!$L$6),M18*'Insumos y gastos'!$M$15*2,IF(AND(Tabla2[[#This Row],[Tipo de insumo]]="PAPEL",Tabla2[[#This Row],[Doble faz]]="SI",Tabla2[[#This Row],[Impresora]]='Insumos y gastos'!$N$6),M18*'Insumos y gastos'!$O$15*2,IF(AND(Tabla2[[#This Row],[Tipo de insumo]]="PAPEL",Tabla2[[#This Row],[Doble faz]]="SI",Tabla2[[#This Row],[Impresora]]='Insumos y gastos'!$P$6),M18*'Insumos y gastos'!$Q$15*2,IF(AND(Tabla2[[#This Row],[Tipo de insumo]]="PAPEL",Tabla2[[#This Row],[Doble faz]]="SI",Tabla2[[#This Row],[Impresora]]='Insumos y gastos'!$R$6),M18*'Insumos y gastos'!$S$15*2,IF(AND(Tabla2[[#This Row],[Tipo de insumo]]="PAPEL",Tabla2[[#This Row],[Doble faz]]="SI",Tabla2[[#This Row],[Impresora]]='Insumos y gastos'!$T$6),M18*'Insumos y gastos'!$U$15*2,IF(AND(Tabla2[[#This Row],[Tipo de insumo]]="PAPEL",Tabla2[[#This Row],[Doble faz]]="NO",Tabla2[[#This Row],[Impresora]]='Insumos y gastos'!$J$6),M18*'Insumos y gastos'!$K$15,IF(AND(Tabla2[[#This Row],[Tipo de insumo]]="PAPEL",Tabla2[[#This Row],[Doble faz]]="NO",Tabla2[[#This Row],[Impresora]]='Insumos y gastos'!$L$6),M18*'Insumos y gastos'!$M$15,IF(AND(Tabla2[[#This Row],[Tipo de insumo]]="PAPEL",Tabla2[[#This Row],[Doble faz]]="NO",Tabla2[[#This Row],[Impresora]]='Insumos y gastos'!$N$6),M18*'Insumos y gastos'!$O$15,IF(AND(Tabla2[[#This Row],[Tipo de insumo]]="PAPEL",Tabla2[[#This Row],[Doble faz]]="NO",Tabla2[[#This Row],[Impresora]]='Insumos y gastos'!$P$6),M18*'Insumos y gastos'!$Q$15,IF(AND(Tabla2[[#This Row],[Tipo de insumo]]="PAPEL",Tabla2[[#This Row],[Doble faz]]="NO",Tabla2[[#This Row],[Impresora]]='Insumos y gastos'!$R$6),M18*'Insumos y gastos'!$S$15,IF(AND(Tabla2[[#This Row],[Tipo de insumo]]="PAPEL",Tabla2[[#This Row],[Doble faz]]="NO",Tabla2[[#This Row],[Impresora]]='Insumos y gastos'!$T$6),M18*'Insumos y gastos'!$U$15,0))))))))))))</f>
        <v>0</v>
      </c>
      <c r="R18" s="67">
        <f>Tabla2[[#This Row],[Costo impresión]]+Tabla2[[#This Row],[Total costo insumo]]</f>
        <v>0</v>
      </c>
    </row>
    <row r="19" spans="10:18" x14ac:dyDescent="0.25">
      <c r="J19" s="52"/>
      <c r="K19" s="67">
        <f>IFERROR(VLOOKUP(J19,'Insumos y gastos'!$B$13:$C$83,2,0),"")</f>
        <v>0</v>
      </c>
      <c r="L19" s="67">
        <f>IFERROR(VLOOKUP(J19,Tabla1[[#All],[Nombre insumo]:[Pr. Unidad]],4,0),0)</f>
        <v>0</v>
      </c>
      <c r="M19" s="70"/>
      <c r="N19" s="67">
        <f>Tabla2[[#This Row],[Cantidad]]*Tabla2[[#This Row],[Costo insumo]]</f>
        <v>0</v>
      </c>
      <c r="O19" s="69"/>
      <c r="P19" s="69"/>
      <c r="Q19" s="67">
        <f>IF(AND(Tabla2[[#This Row],[Tipo de insumo]]="PAPEL",Tabla2[[#This Row],[Doble faz]]="SI",Tabla2[[#This Row],[Impresora]]='Insumos y gastos'!$J$6),M19*'Insumos y gastos'!$K$15*2,IF(AND(Tabla2[[#This Row],[Tipo de insumo]]="PAPEL",Tabla2[[#This Row],[Doble faz]]="SI",Tabla2[[#This Row],[Impresora]]='Insumos y gastos'!$L$6),M19*'Insumos y gastos'!$M$15*2,IF(AND(Tabla2[[#This Row],[Tipo de insumo]]="PAPEL",Tabla2[[#This Row],[Doble faz]]="SI",Tabla2[[#This Row],[Impresora]]='Insumos y gastos'!$N$6),M19*'Insumos y gastos'!$O$15*2,IF(AND(Tabla2[[#This Row],[Tipo de insumo]]="PAPEL",Tabla2[[#This Row],[Doble faz]]="SI",Tabla2[[#This Row],[Impresora]]='Insumos y gastos'!$P$6),M19*'Insumos y gastos'!$Q$15*2,IF(AND(Tabla2[[#This Row],[Tipo de insumo]]="PAPEL",Tabla2[[#This Row],[Doble faz]]="SI",Tabla2[[#This Row],[Impresora]]='Insumos y gastos'!$R$6),M19*'Insumos y gastos'!$S$15*2,IF(AND(Tabla2[[#This Row],[Tipo de insumo]]="PAPEL",Tabla2[[#This Row],[Doble faz]]="SI",Tabla2[[#This Row],[Impresora]]='Insumos y gastos'!$T$6),M19*'Insumos y gastos'!$U$15*2,IF(AND(Tabla2[[#This Row],[Tipo de insumo]]="PAPEL",Tabla2[[#This Row],[Doble faz]]="NO",Tabla2[[#This Row],[Impresora]]='Insumos y gastos'!$J$6),M19*'Insumos y gastos'!$K$15,IF(AND(Tabla2[[#This Row],[Tipo de insumo]]="PAPEL",Tabla2[[#This Row],[Doble faz]]="NO",Tabla2[[#This Row],[Impresora]]='Insumos y gastos'!$L$6),M19*'Insumos y gastos'!$M$15,IF(AND(Tabla2[[#This Row],[Tipo de insumo]]="PAPEL",Tabla2[[#This Row],[Doble faz]]="NO",Tabla2[[#This Row],[Impresora]]='Insumos y gastos'!$N$6),M19*'Insumos y gastos'!$O$15,IF(AND(Tabla2[[#This Row],[Tipo de insumo]]="PAPEL",Tabla2[[#This Row],[Doble faz]]="NO",Tabla2[[#This Row],[Impresora]]='Insumos y gastos'!$P$6),M19*'Insumos y gastos'!$Q$15,IF(AND(Tabla2[[#This Row],[Tipo de insumo]]="PAPEL",Tabla2[[#This Row],[Doble faz]]="NO",Tabla2[[#This Row],[Impresora]]='Insumos y gastos'!$R$6),M19*'Insumos y gastos'!$S$15,IF(AND(Tabla2[[#This Row],[Tipo de insumo]]="PAPEL",Tabla2[[#This Row],[Doble faz]]="NO",Tabla2[[#This Row],[Impresora]]='Insumos y gastos'!$T$6),M19*'Insumos y gastos'!$U$15,0))))))))))))</f>
        <v>0</v>
      </c>
      <c r="R19" s="67">
        <f>Tabla2[[#This Row],[Costo impresión]]+Tabla2[[#This Row],[Total costo insumo]]</f>
        <v>0</v>
      </c>
    </row>
    <row r="20" spans="10:18" x14ac:dyDescent="0.25">
      <c r="J20" s="52"/>
      <c r="K20" s="67">
        <f>IFERROR(VLOOKUP(J20,'Insumos y gastos'!$B$13:$C$83,2,0),"")</f>
        <v>0</v>
      </c>
      <c r="L20" s="67">
        <f>IFERROR(VLOOKUP(J20,Tabla1[[#All],[Nombre insumo]:[Pr. Unidad]],4,0),0)</f>
        <v>0</v>
      </c>
      <c r="M20" s="70"/>
      <c r="N20" s="67">
        <f>Tabla2[[#This Row],[Cantidad]]*Tabla2[[#This Row],[Costo insumo]]</f>
        <v>0</v>
      </c>
      <c r="O20" s="69"/>
      <c r="P20" s="69"/>
      <c r="Q20" s="67">
        <f>IF(AND(Tabla2[[#This Row],[Tipo de insumo]]="PAPEL",Tabla2[[#This Row],[Doble faz]]="SI",Tabla2[[#This Row],[Impresora]]='Insumos y gastos'!$J$6),M20*'Insumos y gastos'!$K$15*2,IF(AND(Tabla2[[#This Row],[Tipo de insumo]]="PAPEL",Tabla2[[#This Row],[Doble faz]]="SI",Tabla2[[#This Row],[Impresora]]='Insumos y gastos'!$L$6),M20*'Insumos y gastos'!$M$15*2,IF(AND(Tabla2[[#This Row],[Tipo de insumo]]="PAPEL",Tabla2[[#This Row],[Doble faz]]="SI",Tabla2[[#This Row],[Impresora]]='Insumos y gastos'!$N$6),M20*'Insumos y gastos'!$O$15*2,IF(AND(Tabla2[[#This Row],[Tipo de insumo]]="PAPEL",Tabla2[[#This Row],[Doble faz]]="SI",Tabla2[[#This Row],[Impresora]]='Insumos y gastos'!$P$6),M20*'Insumos y gastos'!$Q$15*2,IF(AND(Tabla2[[#This Row],[Tipo de insumo]]="PAPEL",Tabla2[[#This Row],[Doble faz]]="SI",Tabla2[[#This Row],[Impresora]]='Insumos y gastos'!$R$6),M20*'Insumos y gastos'!$S$15*2,IF(AND(Tabla2[[#This Row],[Tipo de insumo]]="PAPEL",Tabla2[[#This Row],[Doble faz]]="SI",Tabla2[[#This Row],[Impresora]]='Insumos y gastos'!$T$6),M20*'Insumos y gastos'!$U$15*2,IF(AND(Tabla2[[#This Row],[Tipo de insumo]]="PAPEL",Tabla2[[#This Row],[Doble faz]]="NO",Tabla2[[#This Row],[Impresora]]='Insumos y gastos'!$J$6),M20*'Insumos y gastos'!$K$15,IF(AND(Tabla2[[#This Row],[Tipo de insumo]]="PAPEL",Tabla2[[#This Row],[Doble faz]]="NO",Tabla2[[#This Row],[Impresora]]='Insumos y gastos'!$L$6),M20*'Insumos y gastos'!$M$15,IF(AND(Tabla2[[#This Row],[Tipo de insumo]]="PAPEL",Tabla2[[#This Row],[Doble faz]]="NO",Tabla2[[#This Row],[Impresora]]='Insumos y gastos'!$N$6),M20*'Insumos y gastos'!$O$15,IF(AND(Tabla2[[#This Row],[Tipo de insumo]]="PAPEL",Tabla2[[#This Row],[Doble faz]]="NO",Tabla2[[#This Row],[Impresora]]='Insumos y gastos'!$P$6),M20*'Insumos y gastos'!$Q$15,IF(AND(Tabla2[[#This Row],[Tipo de insumo]]="PAPEL",Tabla2[[#This Row],[Doble faz]]="NO",Tabla2[[#This Row],[Impresora]]='Insumos y gastos'!$R$6),M20*'Insumos y gastos'!$S$15,IF(AND(Tabla2[[#This Row],[Tipo de insumo]]="PAPEL",Tabla2[[#This Row],[Doble faz]]="NO",Tabla2[[#This Row],[Impresora]]='Insumos y gastos'!$T$6),M20*'Insumos y gastos'!$U$15,0))))))))))))</f>
        <v>0</v>
      </c>
      <c r="R20" s="67">
        <f>Tabla2[[#This Row],[Costo impresión]]+Tabla2[[#This Row],[Total costo insumo]]</f>
        <v>0</v>
      </c>
    </row>
    <row r="21" spans="10:18" x14ac:dyDescent="0.25">
      <c r="J21" s="52"/>
      <c r="K21" s="67">
        <f>IFERROR(VLOOKUP(J21,'Insumos y gastos'!$B$13:$C$83,2,0),"")</f>
        <v>0</v>
      </c>
      <c r="L21" s="67">
        <f>IFERROR(VLOOKUP(J21,Tabla1[[#All],[Nombre insumo]:[Pr. Unidad]],4,0),0)</f>
        <v>0</v>
      </c>
      <c r="M21" s="70"/>
      <c r="N21" s="67">
        <f>Tabla2[[#This Row],[Cantidad]]*Tabla2[[#This Row],[Costo insumo]]</f>
        <v>0</v>
      </c>
      <c r="O21" s="69"/>
      <c r="P21" s="69"/>
      <c r="Q21" s="67">
        <f>IF(AND(Tabla2[[#This Row],[Tipo de insumo]]="PAPEL",Tabla2[[#This Row],[Doble faz]]="SI",Tabla2[[#This Row],[Impresora]]='Insumos y gastos'!$J$6),M21*'Insumos y gastos'!$K$15*2,IF(AND(Tabla2[[#This Row],[Tipo de insumo]]="PAPEL",Tabla2[[#This Row],[Doble faz]]="SI",Tabla2[[#This Row],[Impresora]]='Insumos y gastos'!$L$6),M21*'Insumos y gastos'!$M$15*2,IF(AND(Tabla2[[#This Row],[Tipo de insumo]]="PAPEL",Tabla2[[#This Row],[Doble faz]]="SI",Tabla2[[#This Row],[Impresora]]='Insumos y gastos'!$N$6),M21*'Insumos y gastos'!$O$15*2,IF(AND(Tabla2[[#This Row],[Tipo de insumo]]="PAPEL",Tabla2[[#This Row],[Doble faz]]="SI",Tabla2[[#This Row],[Impresora]]='Insumos y gastos'!$P$6),M21*'Insumos y gastos'!$Q$15*2,IF(AND(Tabla2[[#This Row],[Tipo de insumo]]="PAPEL",Tabla2[[#This Row],[Doble faz]]="SI",Tabla2[[#This Row],[Impresora]]='Insumos y gastos'!$R$6),M21*'Insumos y gastos'!$S$15*2,IF(AND(Tabla2[[#This Row],[Tipo de insumo]]="PAPEL",Tabla2[[#This Row],[Doble faz]]="SI",Tabla2[[#This Row],[Impresora]]='Insumos y gastos'!$T$6),M21*'Insumos y gastos'!$U$15*2,IF(AND(Tabla2[[#This Row],[Tipo de insumo]]="PAPEL",Tabla2[[#This Row],[Doble faz]]="NO",Tabla2[[#This Row],[Impresora]]='Insumos y gastos'!$J$6),M21*'Insumos y gastos'!$K$15,IF(AND(Tabla2[[#This Row],[Tipo de insumo]]="PAPEL",Tabla2[[#This Row],[Doble faz]]="NO",Tabla2[[#This Row],[Impresora]]='Insumos y gastos'!$L$6),M21*'Insumos y gastos'!$M$15,IF(AND(Tabla2[[#This Row],[Tipo de insumo]]="PAPEL",Tabla2[[#This Row],[Doble faz]]="NO",Tabla2[[#This Row],[Impresora]]='Insumos y gastos'!$N$6),M21*'Insumos y gastos'!$O$15,IF(AND(Tabla2[[#This Row],[Tipo de insumo]]="PAPEL",Tabla2[[#This Row],[Doble faz]]="NO",Tabla2[[#This Row],[Impresora]]='Insumos y gastos'!$P$6),M21*'Insumos y gastos'!$Q$15,IF(AND(Tabla2[[#This Row],[Tipo de insumo]]="PAPEL",Tabla2[[#This Row],[Doble faz]]="NO",Tabla2[[#This Row],[Impresora]]='Insumos y gastos'!$R$6),M21*'Insumos y gastos'!$S$15,IF(AND(Tabla2[[#This Row],[Tipo de insumo]]="PAPEL",Tabla2[[#This Row],[Doble faz]]="NO",Tabla2[[#This Row],[Impresora]]='Insumos y gastos'!$T$6),M21*'Insumos y gastos'!$U$15,0))))))))))))</f>
        <v>0</v>
      </c>
      <c r="R21" s="67">
        <f>Tabla2[[#This Row],[Costo impresión]]+Tabla2[[#This Row],[Total costo insumo]]</f>
        <v>0</v>
      </c>
    </row>
    <row r="22" spans="10:18" x14ac:dyDescent="0.25">
      <c r="J22" s="52"/>
      <c r="K22" s="67">
        <f>IFERROR(VLOOKUP(J22,'Insumos y gastos'!$B$13:$C$83,2,0),"")</f>
        <v>0</v>
      </c>
      <c r="L22" s="67">
        <f>IFERROR(VLOOKUP(J22,Tabla1[[#All],[Nombre insumo]:[Pr. Unidad]],4,0),0)</f>
        <v>0</v>
      </c>
      <c r="M22" s="70"/>
      <c r="N22" s="67">
        <f>Tabla2[[#This Row],[Cantidad]]*Tabla2[[#This Row],[Costo insumo]]</f>
        <v>0</v>
      </c>
      <c r="O22" s="69"/>
      <c r="P22" s="69"/>
      <c r="Q22" s="67">
        <f>IF(AND(Tabla2[[#This Row],[Tipo de insumo]]="PAPEL",Tabla2[[#This Row],[Doble faz]]="SI",Tabla2[[#This Row],[Impresora]]='Insumos y gastos'!$J$6),M22*'Insumos y gastos'!$K$15*2,IF(AND(Tabla2[[#This Row],[Tipo de insumo]]="PAPEL",Tabla2[[#This Row],[Doble faz]]="SI",Tabla2[[#This Row],[Impresora]]='Insumos y gastos'!$L$6),M22*'Insumos y gastos'!$M$15*2,IF(AND(Tabla2[[#This Row],[Tipo de insumo]]="PAPEL",Tabla2[[#This Row],[Doble faz]]="SI",Tabla2[[#This Row],[Impresora]]='Insumos y gastos'!$N$6),M22*'Insumos y gastos'!$O$15*2,IF(AND(Tabla2[[#This Row],[Tipo de insumo]]="PAPEL",Tabla2[[#This Row],[Doble faz]]="SI",Tabla2[[#This Row],[Impresora]]='Insumos y gastos'!$P$6),M22*'Insumos y gastos'!$Q$15*2,IF(AND(Tabla2[[#This Row],[Tipo de insumo]]="PAPEL",Tabla2[[#This Row],[Doble faz]]="SI",Tabla2[[#This Row],[Impresora]]='Insumos y gastos'!$R$6),M22*'Insumos y gastos'!$S$15*2,IF(AND(Tabla2[[#This Row],[Tipo de insumo]]="PAPEL",Tabla2[[#This Row],[Doble faz]]="SI",Tabla2[[#This Row],[Impresora]]='Insumos y gastos'!$T$6),M22*'Insumos y gastos'!$U$15*2,IF(AND(Tabla2[[#This Row],[Tipo de insumo]]="PAPEL",Tabla2[[#This Row],[Doble faz]]="NO",Tabla2[[#This Row],[Impresora]]='Insumos y gastos'!$J$6),M22*'Insumos y gastos'!$K$15,IF(AND(Tabla2[[#This Row],[Tipo de insumo]]="PAPEL",Tabla2[[#This Row],[Doble faz]]="NO",Tabla2[[#This Row],[Impresora]]='Insumos y gastos'!$L$6),M22*'Insumos y gastos'!$M$15,IF(AND(Tabla2[[#This Row],[Tipo de insumo]]="PAPEL",Tabla2[[#This Row],[Doble faz]]="NO",Tabla2[[#This Row],[Impresora]]='Insumos y gastos'!$N$6),M22*'Insumos y gastos'!$O$15,IF(AND(Tabla2[[#This Row],[Tipo de insumo]]="PAPEL",Tabla2[[#This Row],[Doble faz]]="NO",Tabla2[[#This Row],[Impresora]]='Insumos y gastos'!$P$6),M22*'Insumos y gastos'!$Q$15,IF(AND(Tabla2[[#This Row],[Tipo de insumo]]="PAPEL",Tabla2[[#This Row],[Doble faz]]="NO",Tabla2[[#This Row],[Impresora]]='Insumos y gastos'!$R$6),M22*'Insumos y gastos'!$S$15,IF(AND(Tabla2[[#This Row],[Tipo de insumo]]="PAPEL",Tabla2[[#This Row],[Doble faz]]="NO",Tabla2[[#This Row],[Impresora]]='Insumos y gastos'!$T$6),M22*'Insumos y gastos'!$U$15,0))))))))))))</f>
        <v>0</v>
      </c>
      <c r="R22" s="67">
        <f>Tabla2[[#This Row],[Costo impresión]]+Tabla2[[#This Row],[Total costo insumo]]</f>
        <v>0</v>
      </c>
    </row>
    <row r="23" spans="10:18" x14ac:dyDescent="0.25">
      <c r="J23" s="52"/>
      <c r="K23" s="67">
        <f>IFERROR(VLOOKUP(J23,'Insumos y gastos'!$B$13:$C$83,2,0),"")</f>
        <v>0</v>
      </c>
      <c r="L23" s="67">
        <f>IFERROR(VLOOKUP(J23,Tabla1[[#All],[Nombre insumo]:[Pr. Unidad]],4,0),0)</f>
        <v>0</v>
      </c>
      <c r="M23" s="70"/>
      <c r="N23" s="67">
        <f>Tabla2[[#This Row],[Cantidad]]*Tabla2[[#This Row],[Costo insumo]]</f>
        <v>0</v>
      </c>
      <c r="O23" s="69"/>
      <c r="P23" s="69"/>
      <c r="Q23" s="67">
        <f>IF(AND(Tabla2[[#This Row],[Tipo de insumo]]="PAPEL",Tabla2[[#This Row],[Doble faz]]="SI",Tabla2[[#This Row],[Impresora]]='Insumos y gastos'!$J$6),M23*'Insumos y gastos'!$K$15*2,IF(AND(Tabla2[[#This Row],[Tipo de insumo]]="PAPEL",Tabla2[[#This Row],[Doble faz]]="SI",Tabla2[[#This Row],[Impresora]]='Insumos y gastos'!$L$6),M23*'Insumos y gastos'!$M$15*2,IF(AND(Tabla2[[#This Row],[Tipo de insumo]]="PAPEL",Tabla2[[#This Row],[Doble faz]]="SI",Tabla2[[#This Row],[Impresora]]='Insumos y gastos'!$N$6),M23*'Insumos y gastos'!$O$15*2,IF(AND(Tabla2[[#This Row],[Tipo de insumo]]="PAPEL",Tabla2[[#This Row],[Doble faz]]="SI",Tabla2[[#This Row],[Impresora]]='Insumos y gastos'!$P$6),M23*'Insumos y gastos'!$Q$15*2,IF(AND(Tabla2[[#This Row],[Tipo de insumo]]="PAPEL",Tabla2[[#This Row],[Doble faz]]="SI",Tabla2[[#This Row],[Impresora]]='Insumos y gastos'!$R$6),M23*'Insumos y gastos'!$S$15*2,IF(AND(Tabla2[[#This Row],[Tipo de insumo]]="PAPEL",Tabla2[[#This Row],[Doble faz]]="SI",Tabla2[[#This Row],[Impresora]]='Insumos y gastos'!$T$6),M23*'Insumos y gastos'!$U$15*2,IF(AND(Tabla2[[#This Row],[Tipo de insumo]]="PAPEL",Tabla2[[#This Row],[Doble faz]]="NO",Tabla2[[#This Row],[Impresora]]='Insumos y gastos'!$J$6),M23*'Insumos y gastos'!$K$15,IF(AND(Tabla2[[#This Row],[Tipo de insumo]]="PAPEL",Tabla2[[#This Row],[Doble faz]]="NO",Tabla2[[#This Row],[Impresora]]='Insumos y gastos'!$L$6),M23*'Insumos y gastos'!$M$15,IF(AND(Tabla2[[#This Row],[Tipo de insumo]]="PAPEL",Tabla2[[#This Row],[Doble faz]]="NO",Tabla2[[#This Row],[Impresora]]='Insumos y gastos'!$N$6),M23*'Insumos y gastos'!$O$15,IF(AND(Tabla2[[#This Row],[Tipo de insumo]]="PAPEL",Tabla2[[#This Row],[Doble faz]]="NO",Tabla2[[#This Row],[Impresora]]='Insumos y gastos'!$P$6),M23*'Insumos y gastos'!$Q$15,IF(AND(Tabla2[[#This Row],[Tipo de insumo]]="PAPEL",Tabla2[[#This Row],[Doble faz]]="NO",Tabla2[[#This Row],[Impresora]]='Insumos y gastos'!$R$6),M23*'Insumos y gastos'!$S$15,IF(AND(Tabla2[[#This Row],[Tipo de insumo]]="PAPEL",Tabla2[[#This Row],[Doble faz]]="NO",Tabla2[[#This Row],[Impresora]]='Insumos y gastos'!$T$6),M23*'Insumos y gastos'!$U$15,0))))))))))))</f>
        <v>0</v>
      </c>
      <c r="R23" s="67">
        <f>Tabla2[[#This Row],[Costo impresión]]+Tabla2[[#This Row],[Total costo insumo]]</f>
        <v>0</v>
      </c>
    </row>
    <row r="24" spans="10:18" ht="27" customHeight="1" x14ac:dyDescent="0.25">
      <c r="J24" s="56" t="s">
        <v>12</v>
      </c>
      <c r="K24" s="56"/>
      <c r="L24" s="57"/>
      <c r="M24" s="56"/>
      <c r="N24" s="68">
        <f>SUBTOTAL(109,Tabla2[Total costo insumo])</f>
        <v>0</v>
      </c>
      <c r="O24" s="68"/>
      <c r="P24" s="68"/>
      <c r="Q24" s="68">
        <f>SUBTOTAL(109,Tabla2[Costo impresión])</f>
        <v>0</v>
      </c>
      <c r="R24" s="68">
        <f>SUBTOTAL(109,Tabla2[Total insumo + impresión])</f>
        <v>0</v>
      </c>
    </row>
    <row r="25" spans="10:18" x14ac:dyDescent="0.25">
      <c r="R25" s="58" t="s">
        <v>43</v>
      </c>
    </row>
    <row r="26" spans="10:18" x14ac:dyDescent="0.25">
      <c r="J26" s="52" t="s">
        <v>54</v>
      </c>
    </row>
    <row r="28" spans="10:18" x14ac:dyDescent="0.25">
      <c r="P28" s="117" t="s">
        <v>67</v>
      </c>
      <c r="Q28" s="117"/>
    </row>
    <row r="29" spans="10:18" x14ac:dyDescent="0.25">
      <c r="P29" s="117"/>
      <c r="Q29" s="117"/>
    </row>
    <row r="30" spans="10:18" ht="21.75" customHeight="1" x14ac:dyDescent="0.25">
      <c r="J30" s="53" t="s">
        <v>55</v>
      </c>
      <c r="K30" s="55" t="s">
        <v>24</v>
      </c>
      <c r="L30" s="54" t="s">
        <v>56</v>
      </c>
      <c r="M30" s="54" t="s">
        <v>31</v>
      </c>
      <c r="N30" s="54" t="s">
        <v>23</v>
      </c>
      <c r="P30" s="54" t="s">
        <v>32</v>
      </c>
      <c r="Q30" s="54" t="s">
        <v>68</v>
      </c>
    </row>
    <row r="31" spans="10:18" x14ac:dyDescent="0.25">
      <c r="J31" s="67">
        <f>Tabla2[[#Totals],[Total insumo + impresión]]</f>
        <v>0</v>
      </c>
      <c r="K31" s="71"/>
      <c r="L31" s="130">
        <f>K31*'Insumos y gastos'!$M$50</f>
        <v>0</v>
      </c>
      <c r="M31" s="131">
        <f>K31*'Insumos y gastos'!$Q$24</f>
        <v>0</v>
      </c>
      <c r="N31" s="130">
        <f>J31+L31+M31</f>
        <v>0</v>
      </c>
      <c r="P31" s="69"/>
      <c r="Q31" s="132">
        <f>P31/60</f>
        <v>0</v>
      </c>
    </row>
    <row r="36" spans="11:17" x14ac:dyDescent="0.25">
      <c r="K36" s="117" t="s">
        <v>63</v>
      </c>
      <c r="L36" s="117"/>
      <c r="M36" s="117"/>
      <c r="O36" s="117" t="s">
        <v>63</v>
      </c>
      <c r="P36" s="117"/>
      <c r="Q36" s="117"/>
    </row>
    <row r="37" spans="11:17" x14ac:dyDescent="0.25">
      <c r="K37" s="117"/>
      <c r="L37" s="117"/>
      <c r="M37" s="117"/>
      <c r="O37" s="117"/>
      <c r="P37" s="117"/>
      <c r="Q37" s="117"/>
    </row>
    <row r="38" spans="11:17" x14ac:dyDescent="0.25">
      <c r="K38" s="118" t="s">
        <v>65</v>
      </c>
      <c r="L38" s="118"/>
      <c r="M38" s="118"/>
      <c r="O38" s="118" t="s">
        <v>66</v>
      </c>
      <c r="P38" s="118"/>
      <c r="Q38" s="118"/>
    </row>
    <row r="39" spans="11:17" x14ac:dyDescent="0.25">
      <c r="K39" s="118"/>
      <c r="L39" s="118"/>
      <c r="M39" s="118"/>
      <c r="O39" s="118"/>
      <c r="P39" s="118"/>
      <c r="Q39" s="118"/>
    </row>
    <row r="40" spans="11:17" x14ac:dyDescent="0.25">
      <c r="K40" s="75" t="s">
        <v>64</v>
      </c>
      <c r="L40" s="76" t="s">
        <v>25</v>
      </c>
      <c r="M40" s="77" t="s">
        <v>30</v>
      </c>
      <c r="O40" s="75" t="s">
        <v>25</v>
      </c>
      <c r="P40" s="76" t="s">
        <v>26</v>
      </c>
      <c r="Q40" s="77" t="s">
        <v>30</v>
      </c>
    </row>
    <row r="41" spans="11:17" x14ac:dyDescent="0.25">
      <c r="L41" s="133" t="e">
        <f>((K41*100)/N31)/100</f>
        <v>#DIV/0!</v>
      </c>
      <c r="M41" s="130">
        <f>K41-N31</f>
        <v>0</v>
      </c>
      <c r="O41" s="78"/>
      <c r="P41" s="130">
        <f>(O41*N31)+N31</f>
        <v>0</v>
      </c>
      <c r="Q41" s="84">
        <f>P41-N31</f>
        <v>0</v>
      </c>
    </row>
  </sheetData>
  <mergeCells count="7">
    <mergeCell ref="J2:R2"/>
    <mergeCell ref="J3:R4"/>
    <mergeCell ref="P28:Q29"/>
    <mergeCell ref="K36:M37"/>
    <mergeCell ref="K38:M39"/>
    <mergeCell ref="O36:Q37"/>
    <mergeCell ref="O38:Q39"/>
  </mergeCells>
  <dataValidations count="1">
    <dataValidation type="list" allowBlank="1" showInputMessage="1" showErrorMessage="1" sqref="O6:O11 O13:O23" xr:uid="{318743D4-D4FE-45DC-83F6-26A8B4B24D3F}">
      <formula1>$A$6:$A$7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D909C5-4568-47C1-BA6D-70068FB98063}">
          <x14:formula1>
            <xm:f>'Insumos y gastos'!$E$13:$E$209</xm:f>
          </x14:formula1>
          <xm:sqref>J6:J23</xm:sqref>
        </x14:dataValidation>
        <x14:dataValidation type="list" allowBlank="1" showInputMessage="1" showErrorMessage="1" xr:uid="{66C61D6F-1266-4AE2-8EDA-EBCFA539412C}">
          <x14:formula1>
            <xm:f>'Insumos y gastos'!$J$6:$AY$6</xm:f>
          </x14:formula1>
          <xm:sqref>P7:P23</xm:sqref>
        </x14:dataValidation>
        <x14:dataValidation type="list" allowBlank="1" showInputMessage="1" showErrorMessage="1" xr:uid="{BD1AA460-C171-41D5-BCD1-826B13957237}">
          <x14:formula1>
            <xm:f>'Insumos y gastos'!$J$6:$U$6</xm:f>
          </x14:formula1>
          <xm:sqref>P6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CB1F-D014-43C6-B309-CCA2B6D6C67C}">
  <sheetPr>
    <tabColor theme="7" tint="0.79998168889431442"/>
  </sheetPr>
  <dimension ref="A1:BL26"/>
  <sheetViews>
    <sheetView topLeftCell="AX1" zoomScale="80" zoomScaleNormal="80" workbookViewId="0">
      <selection activeCell="C9" sqref="C9"/>
    </sheetView>
  </sheetViews>
  <sheetFormatPr baseColWidth="10" defaultRowHeight="20.100000000000001" customHeight="1" x14ac:dyDescent="0.25"/>
  <cols>
    <col min="1" max="1" width="10.7109375" bestFit="1" customWidth="1"/>
    <col min="2" max="2" width="33.7109375" style="86" bestFit="1" customWidth="1"/>
    <col min="3" max="3" width="13.5703125" bestFit="1" customWidth="1"/>
    <col min="4" max="4" width="17.28515625" bestFit="1" customWidth="1"/>
    <col min="5" max="5" width="32.140625" bestFit="1" customWidth="1"/>
    <col min="6" max="6" width="18.7109375" style="6" bestFit="1" customWidth="1"/>
    <col min="7" max="7" width="16.28515625" style="3" bestFit="1" customWidth="1"/>
    <col min="8" max="8" width="17" style="3" bestFit="1" customWidth="1"/>
    <col min="9" max="9" width="17.42578125" style="3" bestFit="1" customWidth="1"/>
    <col min="10" max="10" width="22.7109375" style="1" bestFit="1" customWidth="1"/>
    <col min="11" max="11" width="25.28515625" style="82" bestFit="1" customWidth="1"/>
    <col min="12" max="12" width="17.42578125" bestFit="1" customWidth="1"/>
    <col min="13" max="13" width="18.7109375" style="1" bestFit="1" customWidth="1"/>
    <col min="14" max="14" width="16.28515625" bestFit="1" customWidth="1"/>
    <col min="15" max="15" width="17" bestFit="1" customWidth="1"/>
    <col min="16" max="16" width="17.42578125" bestFit="1" customWidth="1"/>
    <col min="17" max="17" width="22.7109375" style="1" bestFit="1" customWidth="1"/>
    <col min="18" max="18" width="25.28515625" style="1" bestFit="1" customWidth="1"/>
    <col min="19" max="19" width="25.5703125" bestFit="1" customWidth="1"/>
    <col min="20" max="20" width="18.7109375" style="1" bestFit="1" customWidth="1"/>
    <col min="21" max="21" width="16.28515625" bestFit="1" customWidth="1"/>
    <col min="22" max="22" width="17" bestFit="1" customWidth="1"/>
    <col min="23" max="23" width="17.42578125" bestFit="1" customWidth="1"/>
    <col min="24" max="24" width="22.7109375" style="1" bestFit="1" customWidth="1"/>
    <col min="25" max="25" width="25.28515625" style="1" bestFit="1" customWidth="1"/>
    <col min="26" max="26" width="13.42578125" bestFit="1" customWidth="1"/>
    <col min="27" max="27" width="18.7109375" style="1" bestFit="1" customWidth="1"/>
    <col min="28" max="28" width="16.28515625" bestFit="1" customWidth="1"/>
    <col min="29" max="29" width="17" bestFit="1" customWidth="1"/>
    <col min="30" max="30" width="17.42578125" bestFit="1" customWidth="1"/>
    <col min="31" max="31" width="22.7109375" style="1" bestFit="1" customWidth="1"/>
    <col min="32" max="32" width="25.28515625" style="1" bestFit="1" customWidth="1"/>
    <col min="33" max="33" width="13.42578125" bestFit="1" customWidth="1"/>
    <col min="34" max="34" width="18.7109375" style="1" bestFit="1" customWidth="1"/>
    <col min="35" max="35" width="16.28515625" bestFit="1" customWidth="1"/>
    <col min="36" max="36" width="17" bestFit="1" customWidth="1"/>
    <col min="37" max="37" width="17.42578125" bestFit="1" customWidth="1"/>
    <col min="38" max="38" width="22.7109375" style="1" bestFit="1" customWidth="1"/>
    <col min="39" max="39" width="25.28515625" style="1" bestFit="1" customWidth="1"/>
    <col min="40" max="40" width="25.7109375" bestFit="1" customWidth="1"/>
    <col min="41" max="41" width="20.28515625" style="1" customWidth="1"/>
    <col min="42" max="42" width="23.42578125" bestFit="1" customWidth="1"/>
    <col min="43" max="43" width="23.85546875" style="1" bestFit="1" customWidth="1"/>
    <col min="44" max="44" width="16.5703125" bestFit="1" customWidth="1"/>
    <col min="45" max="45" width="20.28515625" style="1" bestFit="1" customWidth="1"/>
    <col min="46" max="46" width="23.42578125" bestFit="1" customWidth="1"/>
    <col min="47" max="47" width="23.85546875" style="1" bestFit="1" customWidth="1"/>
    <col min="48" max="48" width="15.7109375" bestFit="1" customWidth="1"/>
    <col min="49" max="49" width="20.28515625" style="1" bestFit="1" customWidth="1"/>
    <col min="50" max="50" width="23.42578125" bestFit="1" customWidth="1"/>
    <col min="51" max="51" width="23.85546875" style="1" bestFit="1" customWidth="1"/>
    <col min="52" max="52" width="21.28515625" bestFit="1" customWidth="1"/>
    <col min="53" max="53" width="20.28515625" bestFit="1" customWidth="1"/>
    <col min="54" max="54" width="23.42578125" bestFit="1" customWidth="1"/>
    <col min="55" max="55" width="23.85546875" bestFit="1" customWidth="1"/>
    <col min="56" max="56" width="28.7109375" bestFit="1" customWidth="1"/>
    <col min="57" max="57" width="20.28515625" bestFit="1" customWidth="1"/>
    <col min="58" max="58" width="23.42578125" bestFit="1" customWidth="1"/>
    <col min="59" max="59" width="23.85546875" bestFit="1" customWidth="1"/>
    <col min="60" max="60" width="23.42578125" bestFit="1" customWidth="1"/>
    <col min="61" max="63" width="23.85546875" customWidth="1"/>
    <col min="64" max="64" width="16.42578125" bestFit="1" customWidth="1"/>
  </cols>
  <sheetData>
    <row r="1" spans="1:64" ht="51.75" customHeight="1" x14ac:dyDescent="0.25">
      <c r="A1" s="122" t="s">
        <v>131</v>
      </c>
      <c r="B1" s="122"/>
      <c r="C1" s="122"/>
      <c r="D1" s="122"/>
      <c r="E1" s="119" t="s">
        <v>128</v>
      </c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20" t="s">
        <v>129</v>
      </c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21"/>
      <c r="BH1" s="120" t="s">
        <v>23</v>
      </c>
      <c r="BI1" s="119"/>
      <c r="BJ1" s="119"/>
      <c r="BK1" s="119"/>
      <c r="BL1" s="119"/>
    </row>
    <row r="2" spans="1:64" s="93" customFormat="1" ht="20.100000000000001" customHeight="1" x14ac:dyDescent="0.25">
      <c r="A2" s="88" t="s">
        <v>69</v>
      </c>
      <c r="B2" s="94" t="s">
        <v>70</v>
      </c>
      <c r="C2" s="88" t="s">
        <v>71</v>
      </c>
      <c r="D2" s="89" t="s">
        <v>72</v>
      </c>
      <c r="E2" s="88" t="s">
        <v>73</v>
      </c>
      <c r="F2" s="90" t="s">
        <v>93</v>
      </c>
      <c r="G2" s="88" t="s">
        <v>74</v>
      </c>
      <c r="H2" s="88" t="s">
        <v>99</v>
      </c>
      <c r="I2" s="88" t="s">
        <v>100</v>
      </c>
      <c r="J2" s="90" t="s">
        <v>92</v>
      </c>
      <c r="K2" s="91" t="s">
        <v>84</v>
      </c>
      <c r="L2" s="88" t="s">
        <v>75</v>
      </c>
      <c r="M2" s="90" t="s">
        <v>94</v>
      </c>
      <c r="N2" s="88" t="s">
        <v>76</v>
      </c>
      <c r="O2" s="88" t="s">
        <v>101</v>
      </c>
      <c r="P2" s="88" t="s">
        <v>98</v>
      </c>
      <c r="Q2" s="90" t="s">
        <v>77</v>
      </c>
      <c r="R2" s="90" t="s">
        <v>85</v>
      </c>
      <c r="S2" s="92" t="s">
        <v>78</v>
      </c>
      <c r="T2" s="90" t="s">
        <v>95</v>
      </c>
      <c r="U2" s="88" t="s">
        <v>79</v>
      </c>
      <c r="V2" s="88" t="s">
        <v>102</v>
      </c>
      <c r="W2" s="88" t="s">
        <v>103</v>
      </c>
      <c r="X2" s="90" t="s">
        <v>80</v>
      </c>
      <c r="Y2" s="90" t="s">
        <v>86</v>
      </c>
      <c r="Z2" s="92" t="s">
        <v>81</v>
      </c>
      <c r="AA2" s="90" t="s">
        <v>96</v>
      </c>
      <c r="AB2" s="88" t="s">
        <v>82</v>
      </c>
      <c r="AC2" s="88" t="s">
        <v>104</v>
      </c>
      <c r="AD2" s="88" t="s">
        <v>105</v>
      </c>
      <c r="AE2" s="90" t="s">
        <v>83</v>
      </c>
      <c r="AF2" s="90" t="s">
        <v>87</v>
      </c>
      <c r="AG2" s="92" t="s">
        <v>88</v>
      </c>
      <c r="AH2" s="90" t="s">
        <v>97</v>
      </c>
      <c r="AI2" s="88" t="s">
        <v>89</v>
      </c>
      <c r="AJ2" s="88" t="s">
        <v>106</v>
      </c>
      <c r="AK2" s="88" t="s">
        <v>107</v>
      </c>
      <c r="AL2" s="90" t="s">
        <v>90</v>
      </c>
      <c r="AM2" s="90" t="s">
        <v>91</v>
      </c>
      <c r="AN2" s="92" t="s">
        <v>108</v>
      </c>
      <c r="AO2" s="90" t="s">
        <v>109</v>
      </c>
      <c r="AP2" s="88" t="s">
        <v>111</v>
      </c>
      <c r="AQ2" s="90" t="s">
        <v>110</v>
      </c>
      <c r="AR2" s="92" t="s">
        <v>120</v>
      </c>
      <c r="AS2" s="90" t="s">
        <v>112</v>
      </c>
      <c r="AT2" s="88" t="s">
        <v>113</v>
      </c>
      <c r="AU2" s="90" t="s">
        <v>114</v>
      </c>
      <c r="AV2" s="92" t="s">
        <v>123</v>
      </c>
      <c r="AW2" s="90" t="s">
        <v>115</v>
      </c>
      <c r="AX2" s="88" t="s">
        <v>116</v>
      </c>
      <c r="AY2" s="90" t="s">
        <v>117</v>
      </c>
      <c r="AZ2" s="92" t="s">
        <v>124</v>
      </c>
      <c r="BA2" s="88" t="s">
        <v>118</v>
      </c>
      <c r="BB2" s="88" t="s">
        <v>119</v>
      </c>
      <c r="BC2" s="89" t="s">
        <v>121</v>
      </c>
      <c r="BD2" s="88" t="s">
        <v>125</v>
      </c>
      <c r="BE2" s="88" t="s">
        <v>126</v>
      </c>
      <c r="BF2" s="88" t="s">
        <v>127</v>
      </c>
      <c r="BG2" s="89" t="s">
        <v>122</v>
      </c>
      <c r="BH2" s="88" t="s">
        <v>55</v>
      </c>
      <c r="BI2" s="88" t="s">
        <v>24</v>
      </c>
      <c r="BJ2" s="88" t="s">
        <v>130</v>
      </c>
      <c r="BK2" s="88" t="s">
        <v>134</v>
      </c>
      <c r="BL2" s="88" t="s">
        <v>135</v>
      </c>
    </row>
    <row r="3" spans="1:64" s="11" customFormat="1" ht="20.100000000000001" customHeight="1" x14ac:dyDescent="0.25">
      <c r="A3" s="11">
        <v>10001</v>
      </c>
      <c r="B3" s="95"/>
      <c r="D3" s="80"/>
      <c r="F3" s="83">
        <f>IFERROR(VLOOKUP(E3,Tabla1[[#All],[Nombre insumo]:[Pr. Unidad]],4,0),0)</f>
        <v>0</v>
      </c>
      <c r="J3" s="83">
        <f>G3*F3</f>
        <v>0</v>
      </c>
      <c r="K3" s="81">
        <f>IF(AND(H3="SI",I3='Insumos y gastos'!$J$6),J3+('Insumos y gastos'!$K$15*G3*2),IF(AND(H3="NO",I3='Insumos y gastos'!$J$6),Productos!J3+('Insumos y gastos'!$K$15*Productos!G3),IF(AND(H3="SI",I3='Insumos y gastos'!$L$6),J3+('Insumos y gastos'!$M$15*G3*2),IF(AND(H3="NO",I3='Insumos y gastos'!$L$6),Productos!J3+('Insumos y gastos'!$M$15*Productos!G3),IF(AND(H3="SI",I3='Insumos y gastos'!$N$6),J3+('Insumos y gastos'!$O$15*G3*2),IF(AND(H3="NO",I3='Insumos y gastos'!$N$6),Productos!J3+('Insumos y gastos'!$O$15*Productos!G3),IF(AND(H3="SI",I3='Insumos y gastos'!$P$6),J3+('Insumos y gastos'!$Q$15*G3*2),IF(AND(H3="NO",I3='Insumos y gastos'!$P$6),Productos!J3+('Insumos y gastos'!$Q$15*Productos!G3),IF(AND(H3="SI",I3='Insumos y gastos'!$R$6),J3+('Insumos y gastos'!$S$15*G3*2),IF(AND(H3="NO",I3='Insumos y gastos'!$R$6),Productos!J3+('Insumos y gastos'!$S$15*Productos!G3),IF(AND(H3="SI",I3='Insumos y gastos'!$T$6),J3+('Insumos y gastos'!$U$15*G3*2),IF(AND(H3="NO",I3='Insumos y gastos'!$T$6),Productos!J3+('Insumos y gastos'!$U$15*Productos!G3),0))))))))))))</f>
        <v>0</v>
      </c>
      <c r="M3" s="83">
        <f>IFERROR(VLOOKUP(L3,Tabla1[[#All],[Nombre insumo]:[Pr. Unidad]],4,0),0)</f>
        <v>0</v>
      </c>
      <c r="Q3" s="83">
        <f t="shared" ref="Q3" si="0">N3*M3</f>
        <v>0</v>
      </c>
      <c r="R3" s="83">
        <f>IF(AND(O3="SI",P3='Insumos y gastos'!$J$6),Q3+('Insumos y gastos'!$K$15*N3*2),IF(AND(O3="NO",P3='Insumos y gastos'!$J$6),Productos!Q3+('Insumos y gastos'!$K$15*Productos!N3),IF(AND(O3="SI",P3='Insumos y gastos'!$L$6),Q3+('Insumos y gastos'!$M$15*N3*2),IF(AND(O3="NO",P3='Insumos y gastos'!$L$6),Productos!Q3+('Insumos y gastos'!$M$15*Productos!N3),IF(AND(O3="SI",P3='Insumos y gastos'!$N$6),Q3+('Insumos y gastos'!$O$15*N3*2),IF(AND(O3="NO",P3='Insumos y gastos'!$N$6),Productos!Q3+('Insumos y gastos'!$O$15*Productos!N3),IF(AND(O3="SI",P3='Insumos y gastos'!$P$6),Q3+('Insumos y gastos'!$Q$15*N3*2),IF(AND(O3="NO",P3='Insumos y gastos'!$P$6),Productos!Q3+('Insumos y gastos'!$Q$15*Productos!N3),IF(AND(O3="SI",P3='Insumos y gastos'!$R$6),Q3+('Insumos y gastos'!$S$15*N3*2),IF(AND(O3="NO",P3='Insumos y gastos'!$R$6),Productos!Q3+('Insumos y gastos'!$S$15*Productos!N3),IF(AND(O3="SI",P3='Insumos y gastos'!$T$6),Q3+('Insumos y gastos'!$U$15*N3*2),IF(AND(O3="NO",P3='Insumos y gastos'!$T$6),Productos!Q3+('Insumos y gastos'!$U$15*Productos!N3),0))))))))))))</f>
        <v>0</v>
      </c>
      <c r="S3" s="79"/>
      <c r="T3" s="83">
        <f>IFERROR(VLOOKUP(S3,Tabla1[[#All],[Nombre insumo]:[Pr. Unidad]],4,0),0)</f>
        <v>0</v>
      </c>
      <c r="X3" s="83">
        <f t="shared" ref="X3" si="1">U3*T3</f>
        <v>0</v>
      </c>
      <c r="Y3" s="83">
        <f>IF(AND(V3="SI",W3='Insumos y gastos'!$J$6),X3+('Insumos y gastos'!$K$15*U3*2),IF(AND(V3="NO",W3='Insumos y gastos'!$J$6),Productos!X3+('Insumos y gastos'!$K$15*Productos!U3),IF(AND(V3="SI",W3='Insumos y gastos'!$L$6),X3+('Insumos y gastos'!$M$15*U3*2),IF(AND(V3="NO",W3='Insumos y gastos'!$L$6),Productos!X3+('Insumos y gastos'!$M$15*Productos!U3),IF(AND(V3="SI",W3='Insumos y gastos'!$N$6),X3+('Insumos y gastos'!$O$15*U3*2),IF(AND(V3="NO",W3='Insumos y gastos'!$N$6),Productos!X3+('Insumos y gastos'!$O$15*Productos!U3),IF(AND(V3="SI",W3='Insumos y gastos'!$P$6),X3+('Insumos y gastos'!$Q$15*U3*2),IF(AND(V3="NO",W3='Insumos y gastos'!$P$6),Productos!X3+('Insumos y gastos'!$Q$15*Productos!U3),IF(AND(V3="SI",W3='Insumos y gastos'!$R$6),X3+('Insumos y gastos'!$S$15*U3*2),IF(AND(V3="NO",W3='Insumos y gastos'!$R$6),Productos!X3+('Insumos y gastos'!$S$15*Productos!U3),IF(AND(V3="SI",W3='Insumos y gastos'!$T$6),X3+('Insumos y gastos'!$U$15*U3*2),IF(AND(V3="NO",W3='Insumos y gastos'!$T$6),Productos!X3+('Insumos y gastos'!$U$15*Productos!U3),0))))))))))))</f>
        <v>0</v>
      </c>
      <c r="Z3" s="79"/>
      <c r="AA3" s="83">
        <f>IFERROR(VLOOKUP(Z3,Tabla1[[#All],[Nombre insumo]:[Pr. Unidad]],4,0),0)</f>
        <v>0</v>
      </c>
      <c r="AE3" s="83">
        <f t="shared" ref="AE3" si="2">AB3*AA3</f>
        <v>0</v>
      </c>
      <c r="AF3" s="83">
        <f>IF(AND(AC3="SI",AD3='Insumos y gastos'!$J$6),AE3+('Insumos y gastos'!$K$15*AB3*2),IF(AND(AC3="NO",AD3='Insumos y gastos'!$J$6),Productos!AE3+('Insumos y gastos'!$K$15*Productos!AB3),IF(AND(AC3="SI",AD3='Insumos y gastos'!$L$6),AE3+('Insumos y gastos'!$M$15*AB3*2),IF(AND(AC3="NO",AD3='Insumos y gastos'!$L$6),Productos!AE3+('Insumos y gastos'!$M$15*Productos!AB3),IF(AND(AC3="SI",AD3='Insumos y gastos'!$N$6),AE3+('Insumos y gastos'!$O$15*AB3*2),IF(AND(AC3="NO",AD3='Insumos y gastos'!$N$6),Productos!AE3+('Insumos y gastos'!$O$15*Productos!AB3),IF(AND(AC3="SI",AD3='Insumos y gastos'!$P$6),AE3+('Insumos y gastos'!$Q$15*AB3*2),IF(AND(AC3="NO",AD3='Insumos y gastos'!$P$6),Productos!AE3+('Insumos y gastos'!$Q$15*Productos!AB3),IF(AND(AC3="SI",AD3='Insumos y gastos'!$R$6),AE3+('Insumos y gastos'!$S$15*AB3*2),IF(AND(AC3="NO",AD3='Insumos y gastos'!$R$6),Productos!AE3+('Insumos y gastos'!$S$15*Productos!AB3),IF(AND(AC3="SI",AD3='Insumos y gastos'!$T$6),AE3+('Insumos y gastos'!$U$15*AB3*2),IF(AND(AC3="NO",AD3='Insumos y gastos'!$T$6),Productos!AE3+('Insumos y gastos'!$U$15*Productos!AB3),0))))))))))))</f>
        <v>0</v>
      </c>
      <c r="AG3" s="79"/>
      <c r="AH3" s="83">
        <f>IFERROR(VLOOKUP(AG3,Tabla1[[#All],[Nombre insumo]:[Pr. Unidad]],4,0),0)</f>
        <v>0</v>
      </c>
      <c r="AL3" s="83">
        <f t="shared" ref="AL3" si="3">AI3*AH3</f>
        <v>0</v>
      </c>
      <c r="AM3" s="83">
        <f>IF(AND(AJ3="SI",AK3='Insumos y gastos'!$J$6),AL3+('Insumos y gastos'!$K$15*AI3*2),IF(AND(AJ3="NO",AK3='Insumos y gastos'!$J$6),Productos!AL3+('Insumos y gastos'!$K$15*Productos!AI3),IF(AND(AJ3="SI",AK3='Insumos y gastos'!$L$6),AL3+('Insumos y gastos'!$M$15*AI3*2),IF(AND(AJ3="NO",AK3='Insumos y gastos'!$L$6),Productos!AL3+('Insumos y gastos'!$M$15*Productos!AI3),IF(AND(AJ3="SI",AK3='Insumos y gastos'!$N$6),AL3+('Insumos y gastos'!$O$15*AI3*2),IF(AND(AJ3="NO",AK3='Insumos y gastos'!$N$6),Productos!AL3+('Insumos y gastos'!$O$15*Productos!AI3),IF(AND(AJ3="SI",AK3='Insumos y gastos'!$P$6),AL3+('Insumos y gastos'!$Q$15*AI3*2),IF(AND(AJ3="NO",AK3='Insumos y gastos'!$P$6),Productos!AL3+('Insumos y gastos'!$Q$15*Productos!AI3),IF(AND(AJ3="SI",AK3='Insumos y gastos'!$R$6),AL3+('Insumos y gastos'!$S$15*AI3*2),IF(AND(AJ3="NO",AK3='Insumos y gastos'!$R$6),Productos!AL3+('Insumos y gastos'!$S$15*Productos!AI3),IF(AND(AJ3="SI",AK3='Insumos y gastos'!$T$6),AL3+('Insumos y gastos'!$U$15*AI3*2),IF(AND(AJ3="NO",AK3='Insumos y gastos'!$T$6),Productos!AL3+('Insumos y gastos'!$U$15*Productos!AI3),0))))))))))))</f>
        <v>0</v>
      </c>
      <c r="AN3" s="79"/>
      <c r="AO3" s="84">
        <f>IFERROR(VLOOKUP(AN3,Tabla1[[#All],[Nombre insumo]:[Pr. Unidad]],4,0),0)</f>
        <v>0</v>
      </c>
      <c r="AQ3" s="84">
        <f>IF(Tabla3[[#This Row],[Costo insumo 1]]&gt;0,Tabla3[[#This Row],[Cantidad insumo 1]]*Tabla3[[#This Row],[Costo insumo 1]],0)</f>
        <v>0</v>
      </c>
      <c r="AR3" s="79"/>
      <c r="AS3" s="84">
        <f>IFERROR(VLOOKUP(AR3,Tabla1[[#All],[Nombre insumo]:[Pr. Unidad]],4,0),0)</f>
        <v>0</v>
      </c>
      <c r="AU3" s="84">
        <f>IF(Tabla3[[#This Row],[Costo insumo 2]]&gt;0,Tabla3[[#This Row],[Cantidad insumo 2]]*Tabla3[[#This Row],[Costo insumo 2]],0)</f>
        <v>0</v>
      </c>
      <c r="AV3" s="79"/>
      <c r="AW3" s="84">
        <f>IFERROR(VLOOKUP(AV3,Tabla1[[#All],[Nombre insumo]:[Pr. Unidad]],4,0),0)</f>
        <v>0</v>
      </c>
      <c r="AY3" s="84">
        <f>IF(Tabla3[[#This Row],[Costo insumo 3]]&gt;0,Tabla3[[#This Row],[Cantidad insumo 3]]*Tabla3[[#This Row],[Costo insumo 3]],0)</f>
        <v>0</v>
      </c>
      <c r="AZ3" s="79"/>
      <c r="BA3" s="84">
        <f>IFERROR(VLOOKUP(AZ3,Tabla1[[#All],[Nombre insumo]:[Pr. Unidad]],4,0),0)</f>
        <v>0</v>
      </c>
      <c r="BC3" s="85">
        <f>IF(Tabla3[[#This Row],[Costo insumo 4]]&gt;0,Tabla3[[#This Row],[Cantidad insumo 4]]*Tabla3[[#This Row],[Costo insumo 4]],0)</f>
        <v>0</v>
      </c>
      <c r="BE3" s="84">
        <f>IFERROR(VLOOKUP(BD3,Tabla1[[#All],[Nombre insumo]:[Pr. Unidad]],4,0),0)</f>
        <v>0</v>
      </c>
      <c r="BG3" s="85">
        <f>IF(Tabla3[[#This Row],[Costo insumo 5]]&gt;0,Tabla3[[#This Row],[Cantidad insumo 5]]*Tabla3[[#This Row],[Costo insumo 5]],0)</f>
        <v>0</v>
      </c>
      <c r="BH3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J3" s="87">
        <f>BI3*'Insumos y gastos'!$M$50</f>
        <v>0</v>
      </c>
      <c r="BK3" s="87">
        <f>BI3*'Insumos y gastos'!$Q$24</f>
        <v>0</v>
      </c>
      <c r="BL3" s="87">
        <f>Tabla3[[#This Row],[Costo sin servicios]]+Tabla3[[#This Row],[Costo servicios]]+Tabla3[[#This Row],[Costo mano de obra]]</f>
        <v>0</v>
      </c>
    </row>
    <row r="4" spans="1:64" ht="20.100000000000001" customHeight="1" x14ac:dyDescent="0.25">
      <c r="A4" s="11">
        <v>10002</v>
      </c>
      <c r="B4" s="95"/>
      <c r="C4" s="11"/>
      <c r="D4" s="80"/>
      <c r="E4" s="11"/>
      <c r="F4" s="83">
        <f>IFERROR(VLOOKUP(E4,Tabla1[[#All],[Nombre insumo]:[Pr. Unidad]],4,0),0)</f>
        <v>0</v>
      </c>
      <c r="G4" s="11"/>
      <c r="H4" s="11"/>
      <c r="I4" s="11"/>
      <c r="J4" s="83">
        <f>G4*F4</f>
        <v>0</v>
      </c>
      <c r="K4" s="81">
        <f>IF(AND(H4="SI",I4='Insumos y gastos'!$J$6),J4+('Insumos y gastos'!$K$15*G4*2),IF(AND(H4="NO",I4='Insumos y gastos'!$J$6),Productos!J4+('Insumos y gastos'!$K$15*Productos!G4),IF(AND(H4="SI",I4='Insumos y gastos'!$L$6),J4+('Insumos y gastos'!$M$15*G4*2),IF(AND(H4="NO",I4='Insumos y gastos'!$L$6),Productos!J4+('Insumos y gastos'!$M$15*Productos!G4),IF(AND(H4="SI",I4='Insumos y gastos'!$N$6),J4+('Insumos y gastos'!$O$15*G4*2),IF(AND(H4="NO",I4='Insumos y gastos'!$N$6),Productos!J4+('Insumos y gastos'!$O$15*Productos!G4),IF(AND(H4="SI",I4='Insumos y gastos'!$P$6),J4+('Insumos y gastos'!$Q$15*G4*2),IF(AND(H4="NO",I4='Insumos y gastos'!$P$6),Productos!J4+('Insumos y gastos'!$Q$15*Productos!G4),IF(AND(H4="SI",I4='Insumos y gastos'!$R$6),J4+('Insumos y gastos'!$S$15*G4*2),IF(AND(H4="NO",I4='Insumos y gastos'!$R$6),Productos!J4+('Insumos y gastos'!$S$15*Productos!G4),IF(AND(H4="SI",I4='Insumos y gastos'!$T$6),J4+('Insumos y gastos'!$U$15*G4*2),IF(AND(H4="NO",I4='Insumos y gastos'!$T$6),Productos!J4+('Insumos y gastos'!$U$15*Productos!G4),0))))))))))))</f>
        <v>0</v>
      </c>
      <c r="L4" s="11"/>
      <c r="M4" s="83">
        <f>IFERROR(VLOOKUP(L4,Tabla1[[#All],[Nombre insumo]:[Pr. Unidad]],4,0),0)</f>
        <v>0</v>
      </c>
      <c r="N4" s="11"/>
      <c r="O4" s="11"/>
      <c r="P4" s="11"/>
      <c r="Q4" s="83">
        <f>N4*M4</f>
        <v>0</v>
      </c>
      <c r="R4" s="83">
        <f>IF(AND(O4="SI",P4='Insumos y gastos'!$J$6),Q4+('Insumos y gastos'!$K$15*N4*2),IF(AND(O4="NO",P4='Insumos y gastos'!$J$6),Productos!Q4+('Insumos y gastos'!$K$15*Productos!N4),IF(AND(O4="SI",P4='Insumos y gastos'!$L$6),Q4+('Insumos y gastos'!$M$15*N4*2),IF(AND(O4="NO",P4='Insumos y gastos'!$L$6),Productos!Q4+('Insumos y gastos'!$M$15*Productos!N4),IF(AND(O4="SI",P4='Insumos y gastos'!$N$6),Q4+('Insumos y gastos'!$O$15*N4*2),IF(AND(O4="NO",P4='Insumos y gastos'!$N$6),Productos!Q4+('Insumos y gastos'!$O$15*Productos!N4),IF(AND(O4="SI",P4='Insumos y gastos'!$P$6),Q4+('Insumos y gastos'!$Q$15*N4*2),IF(AND(O4="NO",P4='Insumos y gastos'!$P$6),Productos!Q4+('Insumos y gastos'!$Q$15*Productos!N4),IF(AND(O4="SI",P4='Insumos y gastos'!$R$6),Q4+('Insumos y gastos'!$S$15*N4*2),IF(AND(O4="NO",P4='Insumos y gastos'!$R$6),Productos!Q4+('Insumos y gastos'!$S$15*Productos!N4),IF(AND(O4="SI",P4='Insumos y gastos'!$T$6),Q4+('Insumos y gastos'!$U$15*N4*2),IF(AND(O4="NO",P4='Insumos y gastos'!$T$6),Productos!Q4+('Insumos y gastos'!$U$15*Productos!N4),0))))))))))))</f>
        <v>0</v>
      </c>
      <c r="S4" s="79"/>
      <c r="T4" s="83">
        <f>IFERROR(VLOOKUP(S4,Tabla1[[#All],[Nombre insumo]:[Pr. Unidad]],4,0),0)</f>
        <v>0</v>
      </c>
      <c r="U4" s="11"/>
      <c r="V4" s="11"/>
      <c r="W4" s="11"/>
      <c r="X4" s="83">
        <f>U4*T4</f>
        <v>0</v>
      </c>
      <c r="Y4" s="83">
        <f>IF(AND(V4="SI",W4='Insumos y gastos'!$J$6),X4+('Insumos y gastos'!$K$15*U4*2),IF(AND(V4="NO",W4='Insumos y gastos'!$J$6),Productos!X4+('Insumos y gastos'!$K$15*Productos!U4),IF(AND(V4="SI",W4='Insumos y gastos'!$L$6),X4+('Insumos y gastos'!$M$15*U4*2),IF(AND(V4="NO",W4='Insumos y gastos'!$L$6),Productos!X4+('Insumos y gastos'!$M$15*Productos!U4),IF(AND(V4="SI",W4='Insumos y gastos'!$N$6),X4+('Insumos y gastos'!$O$15*U4*2),IF(AND(V4="NO",W4='Insumos y gastos'!$N$6),Productos!X4+('Insumos y gastos'!$O$15*Productos!U4),IF(AND(V4="SI",W4='Insumos y gastos'!$P$6),X4+('Insumos y gastos'!$Q$15*U4*2),IF(AND(V4="NO",W4='Insumos y gastos'!$P$6),Productos!X4+('Insumos y gastos'!$Q$15*Productos!U4),IF(AND(V4="SI",W4='Insumos y gastos'!$R$6),X4+('Insumos y gastos'!$S$15*U4*2),IF(AND(V4="NO",W4='Insumos y gastos'!$R$6),Productos!X4+('Insumos y gastos'!$S$15*Productos!U4),IF(AND(V4="SI",W4='Insumos y gastos'!$T$6),X4+('Insumos y gastos'!$U$15*U4*2),IF(AND(V4="NO",W4='Insumos y gastos'!$T$6),Productos!X4+('Insumos y gastos'!$U$15*Productos!U4),0))))))))))))</f>
        <v>0</v>
      </c>
      <c r="Z4" s="79"/>
      <c r="AA4" s="83">
        <f>IFERROR(VLOOKUP(Z4,Tabla1[[#All],[Nombre insumo]:[Pr. Unidad]],4,0),0)</f>
        <v>0</v>
      </c>
      <c r="AB4" s="11"/>
      <c r="AC4" s="11"/>
      <c r="AD4" s="11"/>
      <c r="AE4" s="83">
        <f>AB4*AA4</f>
        <v>0</v>
      </c>
      <c r="AF4" s="83">
        <f>IF(AND(AC4="SI",AD4='Insumos y gastos'!$J$6),AE4+('Insumos y gastos'!$K$15*AB4*2),IF(AND(AC4="NO",AD4='Insumos y gastos'!$J$6),Productos!AE4+('Insumos y gastos'!$K$15*Productos!AB4),IF(AND(AC4="SI",AD4='Insumos y gastos'!$L$6),AE4+('Insumos y gastos'!$M$15*AB4*2),IF(AND(AC4="NO",AD4='Insumos y gastos'!$L$6),Productos!AE4+('Insumos y gastos'!$M$15*Productos!AB4),IF(AND(AC4="SI",AD4='Insumos y gastos'!$N$6),AE4+('Insumos y gastos'!$O$15*AB4*2),IF(AND(AC4="NO",AD4='Insumos y gastos'!$N$6),Productos!AE4+('Insumos y gastos'!$O$15*Productos!AB4),IF(AND(AC4="SI",AD4='Insumos y gastos'!$P$6),AE4+('Insumos y gastos'!$Q$15*AB4*2),IF(AND(AC4="NO",AD4='Insumos y gastos'!$P$6),Productos!AE4+('Insumos y gastos'!$Q$15*Productos!AB4),IF(AND(AC4="SI",AD4='Insumos y gastos'!$R$6),AE4+('Insumos y gastos'!$S$15*AB4*2),IF(AND(AC4="NO",AD4='Insumos y gastos'!$R$6),Productos!AE4+('Insumos y gastos'!$S$15*Productos!AB4),IF(AND(AC4="SI",AD4='Insumos y gastos'!$T$6),AE4+('Insumos y gastos'!$U$15*AB4*2),IF(AND(AC4="NO",AD4='Insumos y gastos'!$T$6),Productos!AE4+('Insumos y gastos'!$U$15*Productos!AB4),0))))))))))))</f>
        <v>0</v>
      </c>
      <c r="AG4" s="79"/>
      <c r="AH4" s="83">
        <f>IFERROR(VLOOKUP(AG4,Tabla1[[#All],[Nombre insumo]:[Pr. Unidad]],4,0),0)</f>
        <v>0</v>
      </c>
      <c r="AI4" s="11"/>
      <c r="AJ4" s="11"/>
      <c r="AK4" s="11"/>
      <c r="AL4" s="83">
        <f>AI4*AH4</f>
        <v>0</v>
      </c>
      <c r="AM4" s="83">
        <f>IF(AND(AJ4="SI",AK4='Insumos y gastos'!$J$6),AL4+('Insumos y gastos'!$K$15*AI4*2),IF(AND(AJ4="NO",AK4='Insumos y gastos'!$J$6),Productos!AL4+('Insumos y gastos'!$K$15*Productos!AI4),IF(AND(AJ4="SI",AK4='Insumos y gastos'!$L$6),AL4+('Insumos y gastos'!$M$15*AI4*2),IF(AND(AJ4="NO",AK4='Insumos y gastos'!$L$6),Productos!AL4+('Insumos y gastos'!$M$15*Productos!AI4),IF(AND(AJ4="SI",AK4='Insumos y gastos'!$N$6),AL4+('Insumos y gastos'!$O$15*AI4*2),IF(AND(AJ4="NO",AK4='Insumos y gastos'!$N$6),Productos!AL4+('Insumos y gastos'!$O$15*Productos!AI4),IF(AND(AJ4="SI",AK4='Insumos y gastos'!$P$6),AL4+('Insumos y gastos'!$Q$15*AI4*2),IF(AND(AJ4="NO",AK4='Insumos y gastos'!$P$6),Productos!AL4+('Insumos y gastos'!$Q$15*Productos!AI4),IF(AND(AJ4="SI",AK4='Insumos y gastos'!$R$6),AL4+('Insumos y gastos'!$S$15*AI4*2),IF(AND(AJ4="NO",AK4='Insumos y gastos'!$R$6),Productos!AL4+('Insumos y gastos'!$S$15*Productos!AI4),IF(AND(AJ4="SI",AK4='Insumos y gastos'!$T$6),AL4+('Insumos y gastos'!$U$15*AI4*2),IF(AND(AJ4="NO",AK4='Insumos y gastos'!$T$6),Productos!AL4+('Insumos y gastos'!$U$15*Productos!AI4),0))))))))))))</f>
        <v>0</v>
      </c>
      <c r="AN4" s="79"/>
      <c r="AO4" s="84">
        <f>IFERROR(VLOOKUP(AN4,Tabla1[[#All],[Nombre insumo]:[Pr. Unidad]],4,0),0)</f>
        <v>0</v>
      </c>
      <c r="AP4" s="11"/>
      <c r="AQ4" s="84">
        <f>IF(Tabla3[[#This Row],[Costo insumo 1]]&gt;0,Tabla3[[#This Row],[Cantidad insumo 1]]*Tabla3[[#This Row],[Costo insumo 1]],0)</f>
        <v>0</v>
      </c>
      <c r="AR4" s="79"/>
      <c r="AS4" s="84">
        <f>IFERROR(VLOOKUP(AR4,Tabla1[[#All],[Nombre insumo]:[Pr. Unidad]],4,0),0)</f>
        <v>0</v>
      </c>
      <c r="AT4" s="11"/>
      <c r="AU4" s="84">
        <f>IF(Tabla3[[#This Row],[Costo insumo 2]]&gt;0,Tabla3[[#This Row],[Cantidad insumo 2]]*Tabla3[[#This Row],[Costo insumo 2]],0)</f>
        <v>0</v>
      </c>
      <c r="AV4" s="79"/>
      <c r="AW4" s="84">
        <f>IFERROR(VLOOKUP(AV4,Tabla1[[#All],[Nombre insumo]:[Pr. Unidad]],4,0),0)</f>
        <v>0</v>
      </c>
      <c r="AX4" s="11"/>
      <c r="AY4" s="84">
        <f>IF(Tabla3[[#This Row],[Costo insumo 3]]&gt;0,Tabla3[[#This Row],[Cantidad insumo 3]]*Tabla3[[#This Row],[Costo insumo 3]],0)</f>
        <v>0</v>
      </c>
      <c r="AZ4" s="79"/>
      <c r="BA4" s="84">
        <f>IFERROR(VLOOKUP(AZ4,Tabla1[[#All],[Nombre insumo]:[Pr. Unidad]],4,0),0)</f>
        <v>0</v>
      </c>
      <c r="BB4" s="11"/>
      <c r="BC4" s="85">
        <f>IF(Tabla3[[#This Row],[Costo insumo 4]]&gt;0,Tabla3[[#This Row],[Cantidad insumo 4]]*Tabla3[[#This Row],[Costo insumo 4]],0)</f>
        <v>0</v>
      </c>
      <c r="BD4" s="11"/>
      <c r="BE4" s="84">
        <f>IFERROR(VLOOKUP(BD4,Tabla1[[#All],[Nombre insumo]:[Pr. Unidad]],4,0),0)</f>
        <v>0</v>
      </c>
      <c r="BF4" s="11"/>
      <c r="BG4" s="85">
        <f>IF(Tabla3[[#This Row],[Costo insumo 5]]&gt;0,Tabla3[[#This Row],[Cantidad insumo 5]]*Tabla3[[#This Row],[Costo insumo 5]],0)</f>
        <v>0</v>
      </c>
      <c r="BH4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4" s="11"/>
      <c r="BJ4" s="87">
        <f>BI4*'Insumos y gastos'!$M$50</f>
        <v>0</v>
      </c>
      <c r="BK4" s="87">
        <f>BI4*'Insumos y gastos'!$Q$24</f>
        <v>0</v>
      </c>
      <c r="BL4" s="87">
        <f>Tabla3[[#This Row],[Costo sin servicios]]+Tabla3[[#This Row],[Costo servicios]]+Tabla3[[#This Row],[Costo mano de obra]]</f>
        <v>0</v>
      </c>
    </row>
    <row r="5" spans="1:64" ht="20.100000000000001" customHeight="1" x14ac:dyDescent="0.25">
      <c r="A5" s="11">
        <v>10003</v>
      </c>
      <c r="B5" s="95"/>
      <c r="C5" s="11"/>
      <c r="D5" s="80"/>
      <c r="E5" s="11"/>
      <c r="F5" s="83">
        <f>IFERROR(VLOOKUP(E5,Tabla1[[#All],[Nombre insumo]:[Pr. Unidad]],4,0),0)</f>
        <v>0</v>
      </c>
      <c r="G5" s="11"/>
      <c r="H5" s="11"/>
      <c r="I5" s="11"/>
      <c r="J5" s="83">
        <f>G5*F5</f>
        <v>0</v>
      </c>
      <c r="K5" s="81">
        <f>IF(AND(H5="SI",I5='Insumos y gastos'!$J$6),J5+('Insumos y gastos'!$K$15*G5*2),IF(AND(H5="NO",I5='Insumos y gastos'!$J$6),Productos!J5+('Insumos y gastos'!$K$15*Productos!G5),IF(AND(H5="SI",I5='Insumos y gastos'!$L$6),J5+('Insumos y gastos'!$M$15*G5*2),IF(AND(H5="NO",I5='Insumos y gastos'!$L$6),Productos!J5+('Insumos y gastos'!$M$15*Productos!G5),IF(AND(H5="SI",I5='Insumos y gastos'!$N$6),J5+('Insumos y gastos'!$O$15*G5*2),IF(AND(H5="NO",I5='Insumos y gastos'!$N$6),Productos!J5+('Insumos y gastos'!$O$15*Productos!G5),IF(AND(H5="SI",I5='Insumos y gastos'!$P$6),J5+('Insumos y gastos'!$Q$15*G5*2),IF(AND(H5="NO",I5='Insumos y gastos'!$P$6),Productos!J5+('Insumos y gastos'!$Q$15*Productos!G5),IF(AND(H5="SI",I5='Insumos y gastos'!$R$6),J5+('Insumos y gastos'!$S$15*G5*2),IF(AND(H5="NO",I5='Insumos y gastos'!$R$6),Productos!J5+('Insumos y gastos'!$S$15*Productos!G5),IF(AND(H5="SI",I5='Insumos y gastos'!$T$6),J5+('Insumos y gastos'!$U$15*G5*2),IF(AND(H5="NO",I5='Insumos y gastos'!$T$6),Productos!J5+('Insumos y gastos'!$U$15*Productos!G5),0))))))))))))</f>
        <v>0</v>
      </c>
      <c r="L5" s="11"/>
      <c r="M5" s="83">
        <f>IFERROR(VLOOKUP(L5,Tabla1[[#All],[Nombre insumo]:[Pr. Unidad]],4,0),0)</f>
        <v>0</v>
      </c>
      <c r="N5" s="11"/>
      <c r="O5" s="11"/>
      <c r="P5" s="11"/>
      <c r="Q5" s="83">
        <f>N5*M5</f>
        <v>0</v>
      </c>
      <c r="R5" s="83">
        <f>IF(AND(O5="SI",P5='Insumos y gastos'!$J$6),Q5+('Insumos y gastos'!$K$15*N5*2),IF(AND(O5="NO",P5='Insumos y gastos'!$J$6),Productos!Q5+('Insumos y gastos'!$K$15*Productos!N5),IF(AND(O5="SI",P5='Insumos y gastos'!$L$6),Q5+('Insumos y gastos'!$M$15*N5*2),IF(AND(O5="NO",P5='Insumos y gastos'!$L$6),Productos!Q5+('Insumos y gastos'!$M$15*Productos!N5),IF(AND(O5="SI",P5='Insumos y gastos'!$N$6),Q5+('Insumos y gastos'!$O$15*N5*2),IF(AND(O5="NO",P5='Insumos y gastos'!$N$6),Productos!Q5+('Insumos y gastos'!$O$15*Productos!N5),IF(AND(O5="SI",P5='Insumos y gastos'!$P$6),Q5+('Insumos y gastos'!$Q$15*N5*2),IF(AND(O5="NO",P5='Insumos y gastos'!$P$6),Productos!Q5+('Insumos y gastos'!$Q$15*Productos!N5),IF(AND(O5="SI",P5='Insumos y gastos'!$R$6),Q5+('Insumos y gastos'!$S$15*N5*2),IF(AND(O5="NO",P5='Insumos y gastos'!$R$6),Productos!Q5+('Insumos y gastos'!$S$15*Productos!N5),IF(AND(O5="SI",P5='Insumos y gastos'!$T$6),Q5+('Insumos y gastos'!$U$15*N5*2),IF(AND(O5="NO",P5='Insumos y gastos'!$T$6),Productos!Q5+('Insumos y gastos'!$U$15*Productos!N5),0))))))))))))</f>
        <v>0</v>
      </c>
      <c r="S5" s="79"/>
      <c r="T5" s="83">
        <f>IFERROR(VLOOKUP(S5,Tabla1[[#All],[Nombre insumo]:[Pr. Unidad]],4,0),0)</f>
        <v>0</v>
      </c>
      <c r="U5" s="11"/>
      <c r="V5" s="11"/>
      <c r="W5" s="11"/>
      <c r="X5" s="83">
        <f>U5*T5</f>
        <v>0</v>
      </c>
      <c r="Y5" s="83">
        <f>IF(AND(V5="SI",W5='Insumos y gastos'!$J$6),X5+('Insumos y gastos'!$K$15*U5*2),IF(AND(V5="NO",W5='Insumos y gastos'!$J$6),Productos!X5+('Insumos y gastos'!$K$15*Productos!U5),IF(AND(V5="SI",W5='Insumos y gastos'!$L$6),X5+('Insumos y gastos'!$M$15*U5*2),IF(AND(V5="NO",W5='Insumos y gastos'!$L$6),Productos!X5+('Insumos y gastos'!$M$15*Productos!U5),IF(AND(V5="SI",W5='Insumos y gastos'!$N$6),X5+('Insumos y gastos'!$O$15*U5*2),IF(AND(V5="NO",W5='Insumos y gastos'!$N$6),Productos!X5+('Insumos y gastos'!$O$15*Productos!U5),IF(AND(V5="SI",W5='Insumos y gastos'!$P$6),X5+('Insumos y gastos'!$Q$15*U5*2),IF(AND(V5="NO",W5='Insumos y gastos'!$P$6),Productos!X5+('Insumos y gastos'!$Q$15*Productos!U5),IF(AND(V5="SI",W5='Insumos y gastos'!$R$6),X5+('Insumos y gastos'!$S$15*U5*2),IF(AND(V5="NO",W5='Insumos y gastos'!$R$6),Productos!X5+('Insumos y gastos'!$S$15*Productos!U5),IF(AND(V5="SI",W5='Insumos y gastos'!$T$6),X5+('Insumos y gastos'!$U$15*U5*2),IF(AND(V5="NO",W5='Insumos y gastos'!$T$6),Productos!X5+('Insumos y gastos'!$U$15*Productos!U5),0))))))))))))</f>
        <v>0</v>
      </c>
      <c r="Z5" s="79"/>
      <c r="AA5" s="83">
        <f>IFERROR(VLOOKUP(Z5,Tabla1[[#All],[Nombre insumo]:[Pr. Unidad]],4,0),0)</f>
        <v>0</v>
      </c>
      <c r="AB5" s="11"/>
      <c r="AC5" s="11"/>
      <c r="AD5" s="11"/>
      <c r="AE5" s="83">
        <f>AB5*AA5</f>
        <v>0</v>
      </c>
      <c r="AF5" s="83">
        <f>IF(AND(AC5="SI",AD5='Insumos y gastos'!$J$6),AE5+('Insumos y gastos'!$K$15*AB5*2),IF(AND(AC5="NO",AD5='Insumos y gastos'!$J$6),Productos!AE5+('Insumos y gastos'!$K$15*Productos!AB5),IF(AND(AC5="SI",AD5='Insumos y gastos'!$L$6),AE5+('Insumos y gastos'!$M$15*AB5*2),IF(AND(AC5="NO",AD5='Insumos y gastos'!$L$6),Productos!AE5+('Insumos y gastos'!$M$15*Productos!AB5),IF(AND(AC5="SI",AD5='Insumos y gastos'!$N$6),AE5+('Insumos y gastos'!$O$15*AB5*2),IF(AND(AC5="NO",AD5='Insumos y gastos'!$N$6),Productos!AE5+('Insumos y gastos'!$O$15*Productos!AB5),IF(AND(AC5="SI",AD5='Insumos y gastos'!$P$6),AE5+('Insumos y gastos'!$Q$15*AB5*2),IF(AND(AC5="NO",AD5='Insumos y gastos'!$P$6),Productos!AE5+('Insumos y gastos'!$Q$15*Productos!AB5),IF(AND(AC5="SI",AD5='Insumos y gastos'!$R$6),AE5+('Insumos y gastos'!$S$15*AB5*2),IF(AND(AC5="NO",AD5='Insumos y gastos'!$R$6),Productos!AE5+('Insumos y gastos'!$S$15*Productos!AB5),IF(AND(AC5="SI",AD5='Insumos y gastos'!$T$6),AE5+('Insumos y gastos'!$U$15*AB5*2),IF(AND(AC5="NO",AD5='Insumos y gastos'!$T$6),Productos!AE5+('Insumos y gastos'!$U$15*Productos!AB5),0))))))))))))</f>
        <v>0</v>
      </c>
      <c r="AG5" s="79"/>
      <c r="AH5" s="83">
        <f>IFERROR(VLOOKUP(AG5,Tabla1[[#All],[Nombre insumo]:[Pr. Unidad]],4,0),0)</f>
        <v>0</v>
      </c>
      <c r="AI5" s="11"/>
      <c r="AJ5" s="11"/>
      <c r="AK5" s="11"/>
      <c r="AL5" s="83">
        <f>AI5*AH5</f>
        <v>0</v>
      </c>
      <c r="AM5" s="83">
        <f>IF(AND(AJ5="SI",AK5='Insumos y gastos'!$J$6),AL5+('Insumos y gastos'!$K$15*AI5*2),IF(AND(AJ5="NO",AK5='Insumos y gastos'!$J$6),Productos!AL5+('Insumos y gastos'!$K$15*Productos!AI5),IF(AND(AJ5="SI",AK5='Insumos y gastos'!$L$6),AL5+('Insumos y gastos'!$M$15*AI5*2),IF(AND(AJ5="NO",AK5='Insumos y gastos'!$L$6),Productos!AL5+('Insumos y gastos'!$M$15*Productos!AI5),IF(AND(AJ5="SI",AK5='Insumos y gastos'!$N$6),AL5+('Insumos y gastos'!$O$15*AI5*2),IF(AND(AJ5="NO",AK5='Insumos y gastos'!$N$6),Productos!AL5+('Insumos y gastos'!$O$15*Productos!AI5),IF(AND(AJ5="SI",AK5='Insumos y gastos'!$P$6),AL5+('Insumos y gastos'!$Q$15*AI5*2),IF(AND(AJ5="NO",AK5='Insumos y gastos'!$P$6),Productos!AL5+('Insumos y gastos'!$Q$15*Productos!AI5),IF(AND(AJ5="SI",AK5='Insumos y gastos'!$R$6),AL5+('Insumos y gastos'!$S$15*AI5*2),IF(AND(AJ5="NO",AK5='Insumos y gastos'!$R$6),Productos!AL5+('Insumos y gastos'!$S$15*Productos!AI5),IF(AND(AJ5="SI",AK5='Insumos y gastos'!$T$6),AL5+('Insumos y gastos'!$U$15*AI5*2),IF(AND(AJ5="NO",AK5='Insumos y gastos'!$T$6),Productos!AL5+('Insumos y gastos'!$U$15*Productos!AI5),0))))))))))))</f>
        <v>0</v>
      </c>
      <c r="AN5" s="79"/>
      <c r="AO5" s="84">
        <f>IFERROR(VLOOKUP(AN5,Tabla1[[#All],[Nombre insumo]:[Pr. Unidad]],4,0),0)</f>
        <v>0</v>
      </c>
      <c r="AP5" s="11"/>
      <c r="AQ5" s="84">
        <f>IF(Tabla3[[#This Row],[Costo insumo 1]]&gt;0,Tabla3[[#This Row],[Cantidad insumo 1]]*Tabla3[[#This Row],[Costo insumo 1]],0)</f>
        <v>0</v>
      </c>
      <c r="AR5" s="79"/>
      <c r="AS5" s="84">
        <f>IFERROR(VLOOKUP(AR5,Tabla1[[#All],[Nombre insumo]:[Pr. Unidad]],4,0),0)</f>
        <v>0</v>
      </c>
      <c r="AT5" s="11"/>
      <c r="AU5" s="84">
        <f>IF(Tabla3[[#This Row],[Costo insumo 2]]&gt;0,Tabla3[[#This Row],[Cantidad insumo 2]]*Tabla3[[#This Row],[Costo insumo 2]],0)</f>
        <v>0</v>
      </c>
      <c r="AV5" s="79"/>
      <c r="AW5" s="84">
        <f>IFERROR(VLOOKUP(AV5,Tabla1[[#All],[Nombre insumo]:[Pr. Unidad]],4,0),0)</f>
        <v>0</v>
      </c>
      <c r="AX5" s="11"/>
      <c r="AY5" s="84">
        <f>IF(Tabla3[[#This Row],[Costo insumo 3]]&gt;0,Tabla3[[#This Row],[Cantidad insumo 3]]*Tabla3[[#This Row],[Costo insumo 3]],0)</f>
        <v>0</v>
      </c>
      <c r="AZ5" s="79"/>
      <c r="BA5" s="84">
        <f>IFERROR(VLOOKUP(AZ5,Tabla1[[#All],[Nombre insumo]:[Pr. Unidad]],4,0),0)</f>
        <v>0</v>
      </c>
      <c r="BB5" s="11"/>
      <c r="BC5" s="85">
        <f>IF(Tabla3[[#This Row],[Costo insumo 4]]&gt;0,Tabla3[[#This Row],[Cantidad insumo 4]]*Tabla3[[#This Row],[Costo insumo 4]],0)</f>
        <v>0</v>
      </c>
      <c r="BD5" s="11"/>
      <c r="BE5" s="84">
        <f>IFERROR(VLOOKUP(BD5,Tabla1[[#All],[Nombre insumo]:[Pr. Unidad]],4,0),0)</f>
        <v>0</v>
      </c>
      <c r="BF5" s="11"/>
      <c r="BG5" s="85">
        <f>IF(Tabla3[[#This Row],[Costo insumo 5]]&gt;0,Tabla3[[#This Row],[Cantidad insumo 5]]*Tabla3[[#This Row],[Costo insumo 5]],0)</f>
        <v>0</v>
      </c>
      <c r="BH5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5" s="11"/>
      <c r="BJ5" s="87">
        <f>BI5*'Insumos y gastos'!$M$50</f>
        <v>0</v>
      </c>
      <c r="BK5" s="87">
        <f>BI5*'Insumos y gastos'!$Q$24</f>
        <v>0</v>
      </c>
      <c r="BL5" s="87">
        <f>Tabla3[[#This Row],[Costo sin servicios]]+Tabla3[[#This Row],[Costo servicios]]+Tabla3[[#This Row],[Costo mano de obra]]</f>
        <v>0</v>
      </c>
    </row>
    <row r="6" spans="1:64" ht="20.100000000000001" customHeight="1" x14ac:dyDescent="0.25">
      <c r="A6" s="11">
        <v>10004</v>
      </c>
      <c r="B6" s="95"/>
      <c r="C6" s="11"/>
      <c r="D6" s="80"/>
      <c r="E6" s="11"/>
      <c r="F6" s="83">
        <f>IFERROR(VLOOKUP(E6,Tabla1[[#All],[Nombre insumo]:[Pr. Unidad]],4,0),0)</f>
        <v>0</v>
      </c>
      <c r="G6" s="11"/>
      <c r="H6" s="11"/>
      <c r="I6" s="11"/>
      <c r="J6" s="83">
        <f t="shared" ref="J6:J26" si="4">G6*F6</f>
        <v>0</v>
      </c>
      <c r="K6" s="81">
        <f>IF(AND(H6="SI",I6='Insumos y gastos'!$J$6),J6+('Insumos y gastos'!$K$15*G6*2),IF(AND(H6="NO",I6='Insumos y gastos'!$J$6),Productos!J6+('Insumos y gastos'!$K$15*Productos!G6),IF(AND(H6="SI",I6='Insumos y gastos'!$L$6),J6+('Insumos y gastos'!$M$15*G6*2),IF(AND(H6="NO",I6='Insumos y gastos'!$L$6),Productos!J6+('Insumos y gastos'!$M$15*Productos!G6),IF(AND(H6="SI",I6='Insumos y gastos'!$N$6),J6+('Insumos y gastos'!$O$15*G6*2),IF(AND(H6="NO",I6='Insumos y gastos'!$N$6),Productos!J6+('Insumos y gastos'!$O$15*Productos!G6),IF(AND(H6="SI",I6='Insumos y gastos'!$P$6),J6+('Insumos y gastos'!$Q$15*G6*2),IF(AND(H6="NO",I6='Insumos y gastos'!$P$6),Productos!J6+('Insumos y gastos'!$Q$15*Productos!G6),IF(AND(H6="SI",I6='Insumos y gastos'!$R$6),J6+('Insumos y gastos'!$S$15*G6*2),IF(AND(H6="NO",I6='Insumos y gastos'!$R$6),Productos!J6+('Insumos y gastos'!$S$15*Productos!G6),IF(AND(H6="SI",I6='Insumos y gastos'!$T$6),J6+('Insumos y gastos'!$U$15*G6*2),IF(AND(H6="NO",I6='Insumos y gastos'!$T$6),Productos!J6+('Insumos y gastos'!$U$15*Productos!G6),0))))))))))))</f>
        <v>0</v>
      </c>
      <c r="L6" s="11"/>
      <c r="M6" s="83">
        <f>IFERROR(VLOOKUP(L6,Tabla1[[#All],[Nombre insumo]:[Pr. Unidad]],4,0),0)</f>
        <v>0</v>
      </c>
      <c r="N6" s="11"/>
      <c r="O6" s="11"/>
      <c r="P6" s="11"/>
      <c r="Q6" s="83">
        <f t="shared" ref="Q6:Q26" si="5">N6*M6</f>
        <v>0</v>
      </c>
      <c r="R6" s="83">
        <f>IF(AND(O6="SI",P6='Insumos y gastos'!$J$6),Q6+('Insumos y gastos'!$K$15*N6*2),IF(AND(O6="NO",P6='Insumos y gastos'!$J$6),Productos!Q6+('Insumos y gastos'!$K$15*Productos!N6),IF(AND(O6="SI",P6='Insumos y gastos'!$L$6),Q6+('Insumos y gastos'!$M$15*N6*2),IF(AND(O6="NO",P6='Insumos y gastos'!$L$6),Productos!Q6+('Insumos y gastos'!$M$15*Productos!N6),IF(AND(O6="SI",P6='Insumos y gastos'!$N$6),Q6+('Insumos y gastos'!$O$15*N6*2),IF(AND(O6="NO",P6='Insumos y gastos'!$N$6),Productos!Q6+('Insumos y gastos'!$O$15*Productos!N6),IF(AND(O6="SI",P6='Insumos y gastos'!$P$6),Q6+('Insumos y gastos'!$Q$15*N6*2),IF(AND(O6="NO",P6='Insumos y gastos'!$P$6),Productos!Q6+('Insumos y gastos'!$Q$15*Productos!N6),IF(AND(O6="SI",P6='Insumos y gastos'!$R$6),Q6+('Insumos y gastos'!$S$15*N6*2),IF(AND(O6="NO",P6='Insumos y gastos'!$R$6),Productos!Q6+('Insumos y gastos'!$S$15*Productos!N6),IF(AND(O6="SI",P6='Insumos y gastos'!$T$6),Q6+('Insumos y gastos'!$U$15*N6*2),IF(AND(O6="NO",P6='Insumos y gastos'!$T$6),Productos!Q6+('Insumos y gastos'!$U$15*Productos!N6),0))))))))))))</f>
        <v>0</v>
      </c>
      <c r="S6" s="79"/>
      <c r="T6" s="83">
        <f>IFERROR(VLOOKUP(S6,Tabla1[[#All],[Nombre insumo]:[Pr. Unidad]],4,0),0)</f>
        <v>0</v>
      </c>
      <c r="U6" s="11"/>
      <c r="V6" s="11"/>
      <c r="W6" s="11"/>
      <c r="X6" s="83">
        <f t="shared" ref="X6:X26" si="6">U6*T6</f>
        <v>0</v>
      </c>
      <c r="Y6" s="83">
        <f>IF(AND(V6="SI",W6='Insumos y gastos'!$J$6),X6+('Insumos y gastos'!$K$15*U6*2),IF(AND(V6="NO",W6='Insumos y gastos'!$J$6),Productos!X6+('Insumos y gastos'!$K$15*Productos!U6),IF(AND(V6="SI",W6='Insumos y gastos'!$L$6),X6+('Insumos y gastos'!$M$15*U6*2),IF(AND(V6="NO",W6='Insumos y gastos'!$L$6),Productos!X6+('Insumos y gastos'!$M$15*Productos!U6),IF(AND(V6="SI",W6='Insumos y gastos'!$N$6),X6+('Insumos y gastos'!$O$15*U6*2),IF(AND(V6="NO",W6='Insumos y gastos'!$N$6),Productos!X6+('Insumos y gastos'!$O$15*Productos!U6),IF(AND(V6="SI",W6='Insumos y gastos'!$P$6),X6+('Insumos y gastos'!$Q$15*U6*2),IF(AND(V6="NO",W6='Insumos y gastos'!$P$6),Productos!X6+('Insumos y gastos'!$Q$15*Productos!U6),IF(AND(V6="SI",W6='Insumos y gastos'!$R$6),X6+('Insumos y gastos'!$S$15*U6*2),IF(AND(V6="NO",W6='Insumos y gastos'!$R$6),Productos!X6+('Insumos y gastos'!$S$15*Productos!U6),IF(AND(V6="SI",W6='Insumos y gastos'!$T$6),X6+('Insumos y gastos'!$U$15*U6*2),IF(AND(V6="NO",W6='Insumos y gastos'!$T$6),Productos!X6+('Insumos y gastos'!$U$15*Productos!U6),0))))))))))))</f>
        <v>0</v>
      </c>
      <c r="Z6" s="79"/>
      <c r="AA6" s="83">
        <f>IFERROR(VLOOKUP(Z6,Tabla1[[#All],[Nombre insumo]:[Pr. Unidad]],4,0),0)</f>
        <v>0</v>
      </c>
      <c r="AB6" s="11"/>
      <c r="AC6" s="11"/>
      <c r="AD6" s="11"/>
      <c r="AE6" s="83">
        <f t="shared" ref="AE6:AE26" si="7">AB6*AA6</f>
        <v>0</v>
      </c>
      <c r="AF6" s="83">
        <f>IF(AND(AC6="SI",AD6='Insumos y gastos'!$J$6),AE6+('Insumos y gastos'!$K$15*AB6*2),IF(AND(AC6="NO",AD6='Insumos y gastos'!$J$6),Productos!AE6+('Insumos y gastos'!$K$15*Productos!AB6),IF(AND(AC6="SI",AD6='Insumos y gastos'!$L$6),AE6+('Insumos y gastos'!$M$15*AB6*2),IF(AND(AC6="NO",AD6='Insumos y gastos'!$L$6),Productos!AE6+('Insumos y gastos'!$M$15*Productos!AB6),IF(AND(AC6="SI",AD6='Insumos y gastos'!$N$6),AE6+('Insumos y gastos'!$O$15*AB6*2),IF(AND(AC6="NO",AD6='Insumos y gastos'!$N$6),Productos!AE6+('Insumos y gastos'!$O$15*Productos!AB6),IF(AND(AC6="SI",AD6='Insumos y gastos'!$P$6),AE6+('Insumos y gastos'!$Q$15*AB6*2),IF(AND(AC6="NO",AD6='Insumos y gastos'!$P$6),Productos!AE6+('Insumos y gastos'!$Q$15*Productos!AB6),IF(AND(AC6="SI",AD6='Insumos y gastos'!$R$6),AE6+('Insumos y gastos'!$S$15*AB6*2),IF(AND(AC6="NO",AD6='Insumos y gastos'!$R$6),Productos!AE6+('Insumos y gastos'!$S$15*Productos!AB6),IF(AND(AC6="SI",AD6='Insumos y gastos'!$T$6),AE6+('Insumos y gastos'!$U$15*AB6*2),IF(AND(AC6="NO",AD6='Insumos y gastos'!$T$6),Productos!AE6+('Insumos y gastos'!$U$15*Productos!AB6),0))))))))))))</f>
        <v>0</v>
      </c>
      <c r="AG6" s="79"/>
      <c r="AH6" s="83">
        <f>IFERROR(VLOOKUP(AG6,Tabla1[[#All],[Nombre insumo]:[Pr. Unidad]],4,0),0)</f>
        <v>0</v>
      </c>
      <c r="AI6" s="11"/>
      <c r="AJ6" s="11"/>
      <c r="AK6" s="11"/>
      <c r="AL6" s="83">
        <f t="shared" ref="AL6:AL26" si="8">AI6*AH6</f>
        <v>0</v>
      </c>
      <c r="AM6" s="83">
        <f>IF(AND(AJ6="SI",AK6='Insumos y gastos'!$J$6),AL6+('Insumos y gastos'!$K$15*AI6*2),IF(AND(AJ6="NO",AK6='Insumos y gastos'!$J$6),Productos!AL6+('Insumos y gastos'!$K$15*Productos!AI6),IF(AND(AJ6="SI",AK6='Insumos y gastos'!$L$6),AL6+('Insumos y gastos'!$M$15*AI6*2),IF(AND(AJ6="NO",AK6='Insumos y gastos'!$L$6),Productos!AL6+('Insumos y gastos'!$M$15*Productos!AI6),IF(AND(AJ6="SI",AK6='Insumos y gastos'!$N$6),AL6+('Insumos y gastos'!$O$15*AI6*2),IF(AND(AJ6="NO",AK6='Insumos y gastos'!$N$6),Productos!AL6+('Insumos y gastos'!$O$15*Productos!AI6),IF(AND(AJ6="SI",AK6='Insumos y gastos'!$P$6),AL6+('Insumos y gastos'!$Q$15*AI6*2),IF(AND(AJ6="NO",AK6='Insumos y gastos'!$P$6),Productos!AL6+('Insumos y gastos'!$Q$15*Productos!AI6),IF(AND(AJ6="SI",AK6='Insumos y gastos'!$R$6),AL6+('Insumos y gastos'!$S$15*AI6*2),IF(AND(AJ6="NO",AK6='Insumos y gastos'!$R$6),Productos!AL6+('Insumos y gastos'!$S$15*Productos!AI6),IF(AND(AJ6="SI",AK6='Insumos y gastos'!$T$6),AL6+('Insumos y gastos'!$U$15*AI6*2),IF(AND(AJ6="NO",AK6='Insumos y gastos'!$T$6),Productos!AL6+('Insumos y gastos'!$U$15*Productos!AI6),0))))))))))))</f>
        <v>0</v>
      </c>
      <c r="AN6" s="79"/>
      <c r="AO6" s="84">
        <f>IFERROR(VLOOKUP(AN6,Tabla1[[#All],[Nombre insumo]:[Pr. Unidad]],4,0),0)</f>
        <v>0</v>
      </c>
      <c r="AP6" s="11"/>
      <c r="AQ6" s="84">
        <f>IF(Tabla3[[#This Row],[Costo insumo 1]]&gt;0,Tabla3[[#This Row],[Cantidad insumo 1]]*Tabla3[[#This Row],[Costo insumo 1]],0)</f>
        <v>0</v>
      </c>
      <c r="AR6" s="79"/>
      <c r="AS6" s="84">
        <f>IFERROR(VLOOKUP(AR6,Tabla1[[#All],[Nombre insumo]:[Pr. Unidad]],4,0),0)</f>
        <v>0</v>
      </c>
      <c r="AT6" s="11"/>
      <c r="AU6" s="84">
        <f>IF(Tabla3[[#This Row],[Costo insumo 2]]&gt;0,Tabla3[[#This Row],[Cantidad insumo 2]]*Tabla3[[#This Row],[Costo insumo 2]],0)</f>
        <v>0</v>
      </c>
      <c r="AV6" s="79"/>
      <c r="AW6" s="84">
        <f>IFERROR(VLOOKUP(AV6,Tabla1[[#All],[Nombre insumo]:[Pr. Unidad]],4,0),0)</f>
        <v>0</v>
      </c>
      <c r="AX6" s="11"/>
      <c r="AY6" s="84">
        <f>IF(Tabla3[[#This Row],[Costo insumo 3]]&gt;0,Tabla3[[#This Row],[Cantidad insumo 3]]*Tabla3[[#This Row],[Costo insumo 3]],0)</f>
        <v>0</v>
      </c>
      <c r="AZ6" s="79"/>
      <c r="BA6" s="84">
        <f>IFERROR(VLOOKUP(AZ6,Tabla1[[#All],[Nombre insumo]:[Pr. Unidad]],4,0),0)</f>
        <v>0</v>
      </c>
      <c r="BB6" s="11"/>
      <c r="BC6" s="85">
        <f>IF(Tabla3[[#This Row],[Costo insumo 4]]&gt;0,Tabla3[[#This Row],[Cantidad insumo 4]]*Tabla3[[#This Row],[Costo insumo 4]],0)</f>
        <v>0</v>
      </c>
      <c r="BD6" s="11"/>
      <c r="BE6" s="84">
        <f>IFERROR(VLOOKUP(BD6,Tabla1[[#All],[Nombre insumo]:[Pr. Unidad]],4,0),0)</f>
        <v>0</v>
      </c>
      <c r="BF6" s="11"/>
      <c r="BG6" s="85">
        <f>IF(Tabla3[[#This Row],[Costo insumo 5]]&gt;0,Tabla3[[#This Row],[Cantidad insumo 5]]*Tabla3[[#This Row],[Costo insumo 5]],0)</f>
        <v>0</v>
      </c>
      <c r="BH6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6" s="11"/>
      <c r="BJ6" s="87">
        <f>BI6*'Insumos y gastos'!$M$50</f>
        <v>0</v>
      </c>
      <c r="BK6" s="87">
        <f>BI6*'Insumos y gastos'!$Q$24</f>
        <v>0</v>
      </c>
      <c r="BL6" s="87">
        <f>Tabla3[[#This Row],[Costo sin servicios]]+Tabla3[[#This Row],[Costo servicios]]+Tabla3[[#This Row],[Costo mano de obra]]</f>
        <v>0</v>
      </c>
    </row>
    <row r="7" spans="1:64" ht="20.100000000000001" customHeight="1" x14ac:dyDescent="0.25">
      <c r="A7" s="11">
        <v>10005</v>
      </c>
      <c r="B7" s="95"/>
      <c r="C7" s="11"/>
      <c r="D7" s="80"/>
      <c r="E7" s="11"/>
      <c r="F7" s="83">
        <f>IFERROR(VLOOKUP(E7,Tabla1[[#All],[Nombre insumo]:[Pr. Unidad]],4,0),0)</f>
        <v>0</v>
      </c>
      <c r="G7" s="11"/>
      <c r="H7" s="11"/>
      <c r="I7" s="11"/>
      <c r="J7" s="83">
        <f t="shared" si="4"/>
        <v>0</v>
      </c>
      <c r="K7" s="81">
        <f>IF(AND(H7="SI",I7='Insumos y gastos'!$J$6),J7+('Insumos y gastos'!$K$15*G7*2),IF(AND(H7="NO",I7='Insumos y gastos'!$J$6),Productos!J7+('Insumos y gastos'!$K$15*Productos!G7),IF(AND(H7="SI",I7='Insumos y gastos'!$L$6),J7+('Insumos y gastos'!$M$15*G7*2),IF(AND(H7="NO",I7='Insumos y gastos'!$L$6),Productos!J7+('Insumos y gastos'!$M$15*Productos!G7),IF(AND(H7="SI",I7='Insumos y gastos'!$N$6),J7+('Insumos y gastos'!$O$15*G7*2),IF(AND(H7="NO",I7='Insumos y gastos'!$N$6),Productos!J7+('Insumos y gastos'!$O$15*Productos!G7),IF(AND(H7="SI",I7='Insumos y gastos'!$P$6),J7+('Insumos y gastos'!$Q$15*G7*2),IF(AND(H7="NO",I7='Insumos y gastos'!$P$6),Productos!J7+('Insumos y gastos'!$Q$15*Productos!G7),IF(AND(H7="SI",I7='Insumos y gastos'!$R$6),J7+('Insumos y gastos'!$S$15*G7*2),IF(AND(H7="NO",I7='Insumos y gastos'!$R$6),Productos!J7+('Insumos y gastos'!$S$15*Productos!G7),IF(AND(H7="SI",I7='Insumos y gastos'!$T$6),J7+('Insumos y gastos'!$U$15*G7*2),IF(AND(H7="NO",I7='Insumos y gastos'!$T$6),Productos!J7+('Insumos y gastos'!$U$15*Productos!G7),0))))))))))))</f>
        <v>0</v>
      </c>
      <c r="L7" s="11"/>
      <c r="M7" s="83">
        <f>IFERROR(VLOOKUP(L7,Tabla1[[#All],[Nombre insumo]:[Pr. Unidad]],4,0),0)</f>
        <v>0</v>
      </c>
      <c r="N7" s="11"/>
      <c r="O7" s="11"/>
      <c r="P7" s="11"/>
      <c r="Q7" s="83">
        <f t="shared" si="5"/>
        <v>0</v>
      </c>
      <c r="R7" s="83">
        <f>IF(AND(O7="SI",P7='Insumos y gastos'!$J$6),Q7+('Insumos y gastos'!$K$15*N7*2),IF(AND(O7="NO",P7='Insumos y gastos'!$J$6),Productos!Q7+('Insumos y gastos'!$K$15*Productos!N7),IF(AND(O7="SI",P7='Insumos y gastos'!$L$6),Q7+('Insumos y gastos'!$M$15*N7*2),IF(AND(O7="NO",P7='Insumos y gastos'!$L$6),Productos!Q7+('Insumos y gastos'!$M$15*Productos!N7),IF(AND(O7="SI",P7='Insumos y gastos'!$N$6),Q7+('Insumos y gastos'!$O$15*N7*2),IF(AND(O7="NO",P7='Insumos y gastos'!$N$6),Productos!Q7+('Insumos y gastos'!$O$15*Productos!N7),IF(AND(O7="SI",P7='Insumos y gastos'!$P$6),Q7+('Insumos y gastos'!$Q$15*N7*2),IF(AND(O7="NO",P7='Insumos y gastos'!$P$6),Productos!Q7+('Insumos y gastos'!$Q$15*Productos!N7),IF(AND(O7="SI",P7='Insumos y gastos'!$R$6),Q7+('Insumos y gastos'!$S$15*N7*2),IF(AND(O7="NO",P7='Insumos y gastos'!$R$6),Productos!Q7+('Insumos y gastos'!$S$15*Productos!N7),IF(AND(O7="SI",P7='Insumos y gastos'!$T$6),Q7+('Insumos y gastos'!$U$15*N7*2),IF(AND(O7="NO",P7='Insumos y gastos'!$T$6),Productos!Q7+('Insumos y gastos'!$U$15*Productos!N7),0))))))))))))</f>
        <v>0</v>
      </c>
      <c r="S7" s="79"/>
      <c r="T7" s="83">
        <f>IFERROR(VLOOKUP(S7,Tabla1[[#All],[Nombre insumo]:[Pr. Unidad]],4,0),0)</f>
        <v>0</v>
      </c>
      <c r="U7" s="11"/>
      <c r="V7" s="11"/>
      <c r="W7" s="11"/>
      <c r="X7" s="83">
        <f t="shared" si="6"/>
        <v>0</v>
      </c>
      <c r="Y7" s="83">
        <f>IF(AND(V7="SI",W7='Insumos y gastos'!$J$6),X7+('Insumos y gastos'!$K$15*U7*2),IF(AND(V7="NO",W7='Insumos y gastos'!$J$6),Productos!X7+('Insumos y gastos'!$K$15*Productos!U7),IF(AND(V7="SI",W7='Insumos y gastos'!$L$6),X7+('Insumos y gastos'!$M$15*U7*2),IF(AND(V7="NO",W7='Insumos y gastos'!$L$6),Productos!X7+('Insumos y gastos'!$M$15*Productos!U7),IF(AND(V7="SI",W7='Insumos y gastos'!$N$6),X7+('Insumos y gastos'!$O$15*U7*2),IF(AND(V7="NO",W7='Insumos y gastos'!$N$6),Productos!X7+('Insumos y gastos'!$O$15*Productos!U7),IF(AND(V7="SI",W7='Insumos y gastos'!$P$6),X7+('Insumos y gastos'!$Q$15*U7*2),IF(AND(V7="NO",W7='Insumos y gastos'!$P$6),Productos!X7+('Insumos y gastos'!$Q$15*Productos!U7),IF(AND(V7="SI",W7='Insumos y gastos'!$R$6),X7+('Insumos y gastos'!$S$15*U7*2),IF(AND(V7="NO",W7='Insumos y gastos'!$R$6),Productos!X7+('Insumos y gastos'!$S$15*Productos!U7),IF(AND(V7="SI",W7='Insumos y gastos'!$T$6),X7+('Insumos y gastos'!$U$15*U7*2),IF(AND(V7="NO",W7='Insumos y gastos'!$T$6),Productos!X7+('Insumos y gastos'!$U$15*Productos!U7),0))))))))))))</f>
        <v>0</v>
      </c>
      <c r="Z7" s="79"/>
      <c r="AA7" s="83">
        <f>IFERROR(VLOOKUP(Z7,Tabla1[[#All],[Nombre insumo]:[Pr. Unidad]],4,0),0)</f>
        <v>0</v>
      </c>
      <c r="AB7" s="11"/>
      <c r="AC7" s="11"/>
      <c r="AD7" s="11"/>
      <c r="AE7" s="83">
        <f t="shared" si="7"/>
        <v>0</v>
      </c>
      <c r="AF7" s="83">
        <f>IF(AND(AC7="SI",AD7='Insumos y gastos'!$J$6),AE7+('Insumos y gastos'!$K$15*AB7*2),IF(AND(AC7="NO",AD7='Insumos y gastos'!$J$6),Productos!AE7+('Insumos y gastos'!$K$15*Productos!AB7),IF(AND(AC7="SI",AD7='Insumos y gastos'!$L$6),AE7+('Insumos y gastos'!$M$15*AB7*2),IF(AND(AC7="NO",AD7='Insumos y gastos'!$L$6),Productos!AE7+('Insumos y gastos'!$M$15*Productos!AB7),IF(AND(AC7="SI",AD7='Insumos y gastos'!$N$6),AE7+('Insumos y gastos'!$O$15*AB7*2),IF(AND(AC7="NO",AD7='Insumos y gastos'!$N$6),Productos!AE7+('Insumos y gastos'!$O$15*Productos!AB7),IF(AND(AC7="SI",AD7='Insumos y gastos'!$P$6),AE7+('Insumos y gastos'!$Q$15*AB7*2),IF(AND(AC7="NO",AD7='Insumos y gastos'!$P$6),Productos!AE7+('Insumos y gastos'!$Q$15*Productos!AB7),IF(AND(AC7="SI",AD7='Insumos y gastos'!$R$6),AE7+('Insumos y gastos'!$S$15*AB7*2),IF(AND(AC7="NO",AD7='Insumos y gastos'!$R$6),Productos!AE7+('Insumos y gastos'!$S$15*Productos!AB7),IF(AND(AC7="SI",AD7='Insumos y gastos'!$T$6),AE7+('Insumos y gastos'!$U$15*AB7*2),IF(AND(AC7="NO",AD7='Insumos y gastos'!$T$6),Productos!AE7+('Insumos y gastos'!$U$15*Productos!AB7),0))))))))))))</f>
        <v>0</v>
      </c>
      <c r="AG7" s="79"/>
      <c r="AH7" s="83">
        <f>IFERROR(VLOOKUP(AG7,Tabla1[[#All],[Nombre insumo]:[Pr. Unidad]],4,0),0)</f>
        <v>0</v>
      </c>
      <c r="AI7" s="11"/>
      <c r="AJ7" s="11"/>
      <c r="AK7" s="11"/>
      <c r="AL7" s="83">
        <f t="shared" si="8"/>
        <v>0</v>
      </c>
      <c r="AM7" s="83">
        <f>IF(AND(AJ7="SI",AK7='Insumos y gastos'!$J$6),AL7+('Insumos y gastos'!$K$15*AI7*2),IF(AND(AJ7="NO",AK7='Insumos y gastos'!$J$6),Productos!AL7+('Insumos y gastos'!$K$15*Productos!AI7),IF(AND(AJ7="SI",AK7='Insumos y gastos'!$L$6),AL7+('Insumos y gastos'!$M$15*AI7*2),IF(AND(AJ7="NO",AK7='Insumos y gastos'!$L$6),Productos!AL7+('Insumos y gastos'!$M$15*Productos!AI7),IF(AND(AJ7="SI",AK7='Insumos y gastos'!$N$6),AL7+('Insumos y gastos'!$O$15*AI7*2),IF(AND(AJ7="NO",AK7='Insumos y gastos'!$N$6),Productos!AL7+('Insumos y gastos'!$O$15*Productos!AI7),IF(AND(AJ7="SI",AK7='Insumos y gastos'!$P$6),AL7+('Insumos y gastos'!$Q$15*AI7*2),IF(AND(AJ7="NO",AK7='Insumos y gastos'!$P$6),Productos!AL7+('Insumos y gastos'!$Q$15*Productos!AI7),IF(AND(AJ7="SI",AK7='Insumos y gastos'!$R$6),AL7+('Insumos y gastos'!$S$15*AI7*2),IF(AND(AJ7="NO",AK7='Insumos y gastos'!$R$6),Productos!AL7+('Insumos y gastos'!$S$15*Productos!AI7),IF(AND(AJ7="SI",AK7='Insumos y gastos'!$T$6),AL7+('Insumos y gastos'!$U$15*AI7*2),IF(AND(AJ7="NO",AK7='Insumos y gastos'!$T$6),Productos!AL7+('Insumos y gastos'!$U$15*Productos!AI7),0))))))))))))</f>
        <v>0</v>
      </c>
      <c r="AN7" s="79"/>
      <c r="AO7" s="84">
        <f>IFERROR(VLOOKUP(AN7,Tabla1[[#All],[Nombre insumo]:[Pr. Unidad]],4,0),0)</f>
        <v>0</v>
      </c>
      <c r="AP7" s="11"/>
      <c r="AQ7" s="84">
        <f>IF(Tabla3[[#This Row],[Costo insumo 1]]&gt;0,Tabla3[[#This Row],[Cantidad insumo 1]]*Tabla3[[#This Row],[Costo insumo 1]],0)</f>
        <v>0</v>
      </c>
      <c r="AR7" s="79"/>
      <c r="AS7" s="84">
        <f>IFERROR(VLOOKUP(AR7,Tabla1[[#All],[Nombre insumo]:[Pr. Unidad]],4,0),0)</f>
        <v>0</v>
      </c>
      <c r="AT7" s="11"/>
      <c r="AU7" s="84">
        <f>IF(Tabla3[[#This Row],[Costo insumo 2]]&gt;0,Tabla3[[#This Row],[Cantidad insumo 2]]*Tabla3[[#This Row],[Costo insumo 2]],0)</f>
        <v>0</v>
      </c>
      <c r="AV7" s="79"/>
      <c r="AW7" s="84">
        <f>IFERROR(VLOOKUP(AV7,Tabla1[[#All],[Nombre insumo]:[Pr. Unidad]],4,0),0)</f>
        <v>0</v>
      </c>
      <c r="AX7" s="11"/>
      <c r="AY7" s="84">
        <f>IF(Tabla3[[#This Row],[Costo insumo 3]]&gt;0,Tabla3[[#This Row],[Cantidad insumo 3]]*Tabla3[[#This Row],[Costo insumo 3]],0)</f>
        <v>0</v>
      </c>
      <c r="AZ7" s="79"/>
      <c r="BA7" s="84">
        <f>IFERROR(VLOOKUP(AZ7,Tabla1[[#All],[Nombre insumo]:[Pr. Unidad]],4,0),0)</f>
        <v>0</v>
      </c>
      <c r="BB7" s="11"/>
      <c r="BC7" s="85">
        <f>IF(Tabla3[[#This Row],[Costo insumo 4]]&gt;0,Tabla3[[#This Row],[Cantidad insumo 4]]*Tabla3[[#This Row],[Costo insumo 4]],0)</f>
        <v>0</v>
      </c>
      <c r="BD7" s="11"/>
      <c r="BE7" s="84">
        <f>IFERROR(VLOOKUP(BD7,Tabla1[[#All],[Nombre insumo]:[Pr. Unidad]],4,0),0)</f>
        <v>0</v>
      </c>
      <c r="BF7" s="11"/>
      <c r="BG7" s="85">
        <f>IF(Tabla3[[#This Row],[Costo insumo 5]]&gt;0,Tabla3[[#This Row],[Cantidad insumo 5]]*Tabla3[[#This Row],[Costo insumo 5]],0)</f>
        <v>0</v>
      </c>
      <c r="BH7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7" s="11"/>
      <c r="BJ7" s="87">
        <f>BI7*'Insumos y gastos'!$M$50</f>
        <v>0</v>
      </c>
      <c r="BK7" s="87">
        <f>BI7*'Insumos y gastos'!$Q$24</f>
        <v>0</v>
      </c>
      <c r="BL7" s="87">
        <f>Tabla3[[#This Row],[Costo sin servicios]]+Tabla3[[#This Row],[Costo servicios]]+Tabla3[[#This Row],[Costo mano de obra]]</f>
        <v>0</v>
      </c>
    </row>
    <row r="8" spans="1:64" ht="20.100000000000001" customHeight="1" x14ac:dyDescent="0.25">
      <c r="A8" s="11">
        <v>10006</v>
      </c>
      <c r="B8" s="95"/>
      <c r="C8" s="11"/>
      <c r="D8" s="80"/>
      <c r="E8" s="11"/>
      <c r="F8" s="83">
        <f>IFERROR(VLOOKUP(E8,Tabla1[[#All],[Nombre insumo]:[Pr. Unidad]],4,0),0)</f>
        <v>0</v>
      </c>
      <c r="G8" s="11"/>
      <c r="H8" s="11"/>
      <c r="I8" s="11"/>
      <c r="J8" s="83">
        <f t="shared" si="4"/>
        <v>0</v>
      </c>
      <c r="K8" s="81">
        <f>IF(AND(H8="SI",I8='Insumos y gastos'!$J$6),J8+('Insumos y gastos'!$K$15*G8*2),IF(AND(H8="NO",I8='Insumos y gastos'!$J$6),Productos!J8+('Insumos y gastos'!$K$15*Productos!G8),IF(AND(H8="SI",I8='Insumos y gastos'!$L$6),J8+('Insumos y gastos'!$M$15*G8*2),IF(AND(H8="NO",I8='Insumos y gastos'!$L$6),Productos!J8+('Insumos y gastos'!$M$15*Productos!G8),IF(AND(H8="SI",I8='Insumos y gastos'!$N$6),J8+('Insumos y gastos'!$O$15*G8*2),IF(AND(H8="NO",I8='Insumos y gastos'!$N$6),Productos!J8+('Insumos y gastos'!$O$15*Productos!G8),IF(AND(H8="SI",I8='Insumos y gastos'!$P$6),J8+('Insumos y gastos'!$Q$15*G8*2),IF(AND(H8="NO",I8='Insumos y gastos'!$P$6),Productos!J8+('Insumos y gastos'!$Q$15*Productos!G8),IF(AND(H8="SI",I8='Insumos y gastos'!$R$6),J8+('Insumos y gastos'!$S$15*G8*2),IF(AND(H8="NO",I8='Insumos y gastos'!$R$6),Productos!J8+('Insumos y gastos'!$S$15*Productos!G8),IF(AND(H8="SI",I8='Insumos y gastos'!$T$6),J8+('Insumos y gastos'!$U$15*G8*2),IF(AND(H8="NO",I8='Insumos y gastos'!$T$6),Productos!J8+('Insumos y gastos'!$U$15*Productos!G8),0))))))))))))</f>
        <v>0</v>
      </c>
      <c r="L8" s="11"/>
      <c r="M8" s="83">
        <f>IFERROR(VLOOKUP(L8,Tabla1[[#All],[Nombre insumo]:[Pr. Unidad]],4,0),0)</f>
        <v>0</v>
      </c>
      <c r="N8" s="11"/>
      <c r="O8" s="11"/>
      <c r="P8" s="11"/>
      <c r="Q8" s="83">
        <f t="shared" si="5"/>
        <v>0</v>
      </c>
      <c r="R8" s="83">
        <f>IF(AND(O8="SI",P8='Insumos y gastos'!$J$6),Q8+('Insumos y gastos'!$K$15*N8*2),IF(AND(O8="NO",P8='Insumos y gastos'!$J$6),Productos!Q8+('Insumos y gastos'!$K$15*Productos!N8),IF(AND(O8="SI",P8='Insumos y gastos'!$L$6),Q8+('Insumos y gastos'!$M$15*N8*2),IF(AND(O8="NO",P8='Insumos y gastos'!$L$6),Productos!Q8+('Insumos y gastos'!$M$15*Productos!N8),IF(AND(O8="SI",P8='Insumos y gastos'!$N$6),Q8+('Insumos y gastos'!$O$15*N8*2),IF(AND(O8="NO",P8='Insumos y gastos'!$N$6),Productos!Q8+('Insumos y gastos'!$O$15*Productos!N8),IF(AND(O8="SI",P8='Insumos y gastos'!$P$6),Q8+('Insumos y gastos'!$Q$15*N8*2),IF(AND(O8="NO",P8='Insumos y gastos'!$P$6),Productos!Q8+('Insumos y gastos'!$Q$15*Productos!N8),IF(AND(O8="SI",P8='Insumos y gastos'!$R$6),Q8+('Insumos y gastos'!$S$15*N8*2),IF(AND(O8="NO",P8='Insumos y gastos'!$R$6),Productos!Q8+('Insumos y gastos'!$S$15*Productos!N8),IF(AND(O8="SI",P8='Insumos y gastos'!$T$6),Q8+('Insumos y gastos'!$U$15*N8*2),IF(AND(O8="NO",P8='Insumos y gastos'!$T$6),Productos!Q8+('Insumos y gastos'!$U$15*Productos!N8),0))))))))))))</f>
        <v>0</v>
      </c>
      <c r="S8" s="79"/>
      <c r="T8" s="83">
        <f>IFERROR(VLOOKUP(S8,Tabla1[[#All],[Nombre insumo]:[Pr. Unidad]],4,0),0)</f>
        <v>0</v>
      </c>
      <c r="U8" s="11"/>
      <c r="V8" s="11"/>
      <c r="W8" s="11"/>
      <c r="X8" s="83">
        <f t="shared" si="6"/>
        <v>0</v>
      </c>
      <c r="Y8" s="83">
        <f>IF(AND(V8="SI",W8='Insumos y gastos'!$J$6),X8+('Insumos y gastos'!$K$15*U8*2),IF(AND(V8="NO",W8='Insumos y gastos'!$J$6),Productos!X8+('Insumos y gastos'!$K$15*Productos!U8),IF(AND(V8="SI",W8='Insumos y gastos'!$L$6),X8+('Insumos y gastos'!$M$15*U8*2),IF(AND(V8="NO",W8='Insumos y gastos'!$L$6),Productos!X8+('Insumos y gastos'!$M$15*Productos!U8),IF(AND(V8="SI",W8='Insumos y gastos'!$N$6),X8+('Insumos y gastos'!$O$15*U8*2),IF(AND(V8="NO",W8='Insumos y gastos'!$N$6),Productos!X8+('Insumos y gastos'!$O$15*Productos!U8),IF(AND(V8="SI",W8='Insumos y gastos'!$P$6),X8+('Insumos y gastos'!$Q$15*U8*2),IF(AND(V8="NO",W8='Insumos y gastos'!$P$6),Productos!X8+('Insumos y gastos'!$Q$15*Productos!U8),IF(AND(V8="SI",W8='Insumos y gastos'!$R$6),X8+('Insumos y gastos'!$S$15*U8*2),IF(AND(V8="NO",W8='Insumos y gastos'!$R$6),Productos!X8+('Insumos y gastos'!$S$15*Productos!U8),IF(AND(V8="SI",W8='Insumos y gastos'!$T$6),X8+('Insumos y gastos'!$U$15*U8*2),IF(AND(V8="NO",W8='Insumos y gastos'!$T$6),Productos!X8+('Insumos y gastos'!$U$15*Productos!U8),0))))))))))))</f>
        <v>0</v>
      </c>
      <c r="Z8" s="79"/>
      <c r="AA8" s="83">
        <f>IFERROR(VLOOKUP(Z8,Tabla1[[#All],[Nombre insumo]:[Pr. Unidad]],4,0),0)</f>
        <v>0</v>
      </c>
      <c r="AB8" s="11"/>
      <c r="AC8" s="11"/>
      <c r="AD8" s="11"/>
      <c r="AE8" s="83">
        <f t="shared" si="7"/>
        <v>0</v>
      </c>
      <c r="AF8" s="83">
        <f>IF(AND(AC8="SI",AD8='Insumos y gastos'!$J$6),AE8+('Insumos y gastos'!$K$15*AB8*2),IF(AND(AC8="NO",AD8='Insumos y gastos'!$J$6),Productos!AE8+('Insumos y gastos'!$K$15*Productos!AB8),IF(AND(AC8="SI",AD8='Insumos y gastos'!$L$6),AE8+('Insumos y gastos'!$M$15*AB8*2),IF(AND(AC8="NO",AD8='Insumos y gastos'!$L$6),Productos!AE8+('Insumos y gastos'!$M$15*Productos!AB8),IF(AND(AC8="SI",AD8='Insumos y gastos'!$N$6),AE8+('Insumos y gastos'!$O$15*AB8*2),IF(AND(AC8="NO",AD8='Insumos y gastos'!$N$6),Productos!AE8+('Insumos y gastos'!$O$15*Productos!AB8),IF(AND(AC8="SI",AD8='Insumos y gastos'!$P$6),AE8+('Insumos y gastos'!$Q$15*AB8*2),IF(AND(AC8="NO",AD8='Insumos y gastos'!$P$6),Productos!AE8+('Insumos y gastos'!$Q$15*Productos!AB8),IF(AND(AC8="SI",AD8='Insumos y gastos'!$R$6),AE8+('Insumos y gastos'!$S$15*AB8*2),IF(AND(AC8="NO",AD8='Insumos y gastos'!$R$6),Productos!AE8+('Insumos y gastos'!$S$15*Productos!AB8),IF(AND(AC8="SI",AD8='Insumos y gastos'!$T$6),AE8+('Insumos y gastos'!$U$15*AB8*2),IF(AND(AC8="NO",AD8='Insumos y gastos'!$T$6),Productos!AE8+('Insumos y gastos'!$U$15*Productos!AB8),0))))))))))))</f>
        <v>0</v>
      </c>
      <c r="AG8" s="79"/>
      <c r="AH8" s="83">
        <f>IFERROR(VLOOKUP(AG8,Tabla1[[#All],[Nombre insumo]:[Pr. Unidad]],4,0),0)</f>
        <v>0</v>
      </c>
      <c r="AI8" s="11"/>
      <c r="AJ8" s="11"/>
      <c r="AK8" s="11"/>
      <c r="AL8" s="83">
        <f t="shared" si="8"/>
        <v>0</v>
      </c>
      <c r="AM8" s="83">
        <f>IF(AND(AJ8="SI",AK8='Insumos y gastos'!$J$6),AL8+('Insumos y gastos'!$K$15*AI8*2),IF(AND(AJ8="NO",AK8='Insumos y gastos'!$J$6),Productos!AL8+('Insumos y gastos'!$K$15*Productos!AI8),IF(AND(AJ8="SI",AK8='Insumos y gastos'!$L$6),AL8+('Insumos y gastos'!$M$15*AI8*2),IF(AND(AJ8="NO",AK8='Insumos y gastos'!$L$6),Productos!AL8+('Insumos y gastos'!$M$15*Productos!AI8),IF(AND(AJ8="SI",AK8='Insumos y gastos'!$N$6),AL8+('Insumos y gastos'!$O$15*AI8*2),IF(AND(AJ8="NO",AK8='Insumos y gastos'!$N$6),Productos!AL8+('Insumos y gastos'!$O$15*Productos!AI8),IF(AND(AJ8="SI",AK8='Insumos y gastos'!$P$6),AL8+('Insumos y gastos'!$Q$15*AI8*2),IF(AND(AJ8="NO",AK8='Insumos y gastos'!$P$6),Productos!AL8+('Insumos y gastos'!$Q$15*Productos!AI8),IF(AND(AJ8="SI",AK8='Insumos y gastos'!$R$6),AL8+('Insumos y gastos'!$S$15*AI8*2),IF(AND(AJ8="NO",AK8='Insumos y gastos'!$R$6),Productos!AL8+('Insumos y gastos'!$S$15*Productos!AI8),IF(AND(AJ8="SI",AK8='Insumos y gastos'!$T$6),AL8+('Insumos y gastos'!$U$15*AI8*2),IF(AND(AJ8="NO",AK8='Insumos y gastos'!$T$6),Productos!AL8+('Insumos y gastos'!$U$15*Productos!AI8),0))))))))))))</f>
        <v>0</v>
      </c>
      <c r="AN8" s="79"/>
      <c r="AO8" s="84">
        <f>IFERROR(VLOOKUP(AN8,Tabla1[[#All],[Nombre insumo]:[Pr. Unidad]],4,0),0)</f>
        <v>0</v>
      </c>
      <c r="AP8" s="11"/>
      <c r="AQ8" s="84">
        <f>IF(Tabla3[[#This Row],[Costo insumo 1]]&gt;0,Tabla3[[#This Row],[Cantidad insumo 1]]*Tabla3[[#This Row],[Costo insumo 1]],0)</f>
        <v>0</v>
      </c>
      <c r="AR8" s="79"/>
      <c r="AS8" s="84">
        <f>IFERROR(VLOOKUP(AR8,Tabla1[[#All],[Nombre insumo]:[Pr. Unidad]],4,0),0)</f>
        <v>0</v>
      </c>
      <c r="AT8" s="11"/>
      <c r="AU8" s="84">
        <f>IF(Tabla3[[#This Row],[Costo insumo 2]]&gt;0,Tabla3[[#This Row],[Cantidad insumo 2]]*Tabla3[[#This Row],[Costo insumo 2]],0)</f>
        <v>0</v>
      </c>
      <c r="AV8" s="79"/>
      <c r="AW8" s="84">
        <f>IFERROR(VLOOKUP(AV8,Tabla1[[#All],[Nombre insumo]:[Pr. Unidad]],4,0),0)</f>
        <v>0</v>
      </c>
      <c r="AX8" s="11"/>
      <c r="AY8" s="84">
        <f>IF(Tabla3[[#This Row],[Costo insumo 3]]&gt;0,Tabla3[[#This Row],[Cantidad insumo 3]]*Tabla3[[#This Row],[Costo insumo 3]],0)</f>
        <v>0</v>
      </c>
      <c r="AZ8" s="79"/>
      <c r="BA8" s="84">
        <f>IFERROR(VLOOKUP(AZ8,Tabla1[[#All],[Nombre insumo]:[Pr. Unidad]],4,0),0)</f>
        <v>0</v>
      </c>
      <c r="BB8" s="11"/>
      <c r="BC8" s="85">
        <f>IF(Tabla3[[#This Row],[Costo insumo 4]]&gt;0,Tabla3[[#This Row],[Cantidad insumo 4]]*Tabla3[[#This Row],[Costo insumo 4]],0)</f>
        <v>0</v>
      </c>
      <c r="BD8" s="11"/>
      <c r="BE8" s="84">
        <f>IFERROR(VLOOKUP(BD8,Tabla1[[#All],[Nombre insumo]:[Pr. Unidad]],4,0),0)</f>
        <v>0</v>
      </c>
      <c r="BF8" s="11"/>
      <c r="BG8" s="85">
        <f>IF(Tabla3[[#This Row],[Costo insumo 5]]&gt;0,Tabla3[[#This Row],[Cantidad insumo 5]]*Tabla3[[#This Row],[Costo insumo 5]],0)</f>
        <v>0</v>
      </c>
      <c r="BH8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8" s="11"/>
      <c r="BJ8" s="87">
        <f>BI8*'Insumos y gastos'!$M$50</f>
        <v>0</v>
      </c>
      <c r="BK8" s="87">
        <f>BI8*'Insumos y gastos'!$Q$24</f>
        <v>0</v>
      </c>
      <c r="BL8" s="87">
        <f>Tabla3[[#This Row],[Costo sin servicios]]+Tabla3[[#This Row],[Costo servicios]]+Tabla3[[#This Row],[Costo mano de obra]]</f>
        <v>0</v>
      </c>
    </row>
    <row r="9" spans="1:64" ht="20.100000000000001" customHeight="1" x14ac:dyDescent="0.25">
      <c r="A9" s="11">
        <v>10007</v>
      </c>
      <c r="B9" s="95"/>
      <c r="C9" s="11"/>
      <c r="D9" s="80"/>
      <c r="E9" s="11"/>
      <c r="F9" s="83">
        <f>IFERROR(VLOOKUP(E9,Tabla1[[#All],[Nombre insumo]:[Pr. Unidad]],4,0),0)</f>
        <v>0</v>
      </c>
      <c r="G9" s="11"/>
      <c r="H9" s="11"/>
      <c r="I9" s="11"/>
      <c r="J9" s="83">
        <f t="shared" si="4"/>
        <v>0</v>
      </c>
      <c r="K9" s="81">
        <f>IF(AND(H9="SI",I9='Insumos y gastos'!$J$6),J9+('Insumos y gastos'!$K$15*G9*2),IF(AND(H9="NO",I9='Insumos y gastos'!$J$6),Productos!J9+('Insumos y gastos'!$K$15*Productos!G9),IF(AND(H9="SI",I9='Insumos y gastos'!$L$6),J9+('Insumos y gastos'!$M$15*G9*2),IF(AND(H9="NO",I9='Insumos y gastos'!$L$6),Productos!J9+('Insumos y gastos'!$M$15*Productos!G9),IF(AND(H9="SI",I9='Insumos y gastos'!$N$6),J9+('Insumos y gastos'!$O$15*G9*2),IF(AND(H9="NO",I9='Insumos y gastos'!$N$6),Productos!J9+('Insumos y gastos'!$O$15*Productos!G9),IF(AND(H9="SI",I9='Insumos y gastos'!$P$6),J9+('Insumos y gastos'!$Q$15*G9*2),IF(AND(H9="NO",I9='Insumos y gastos'!$P$6),Productos!J9+('Insumos y gastos'!$Q$15*Productos!G9),IF(AND(H9="SI",I9='Insumos y gastos'!$R$6),J9+('Insumos y gastos'!$S$15*G9*2),IF(AND(H9="NO",I9='Insumos y gastos'!$R$6),Productos!J9+('Insumos y gastos'!$S$15*Productos!G9),IF(AND(H9="SI",I9='Insumos y gastos'!$T$6),J9+('Insumos y gastos'!$U$15*G9*2),IF(AND(H9="NO",I9='Insumos y gastos'!$T$6),Productos!J9+('Insumos y gastos'!$U$15*Productos!G9),0))))))))))))</f>
        <v>0</v>
      </c>
      <c r="L9" s="11"/>
      <c r="M9" s="83">
        <f>IFERROR(VLOOKUP(L9,Tabla1[[#All],[Nombre insumo]:[Pr. Unidad]],4,0),0)</f>
        <v>0</v>
      </c>
      <c r="N9" s="11"/>
      <c r="O9" s="11"/>
      <c r="P9" s="11"/>
      <c r="Q9" s="83">
        <f t="shared" si="5"/>
        <v>0</v>
      </c>
      <c r="R9" s="83">
        <f>IF(AND(O9="SI",P9='Insumos y gastos'!$J$6),Q9+('Insumos y gastos'!$K$15*N9*2),IF(AND(O9="NO",P9='Insumos y gastos'!$J$6),Productos!Q9+('Insumos y gastos'!$K$15*Productos!N9),IF(AND(O9="SI",P9='Insumos y gastos'!$L$6),Q9+('Insumos y gastos'!$M$15*N9*2),IF(AND(O9="NO",P9='Insumos y gastos'!$L$6),Productos!Q9+('Insumos y gastos'!$M$15*Productos!N9),IF(AND(O9="SI",P9='Insumos y gastos'!$N$6),Q9+('Insumos y gastos'!$O$15*N9*2),IF(AND(O9="NO",P9='Insumos y gastos'!$N$6),Productos!Q9+('Insumos y gastos'!$O$15*Productos!N9),IF(AND(O9="SI",P9='Insumos y gastos'!$P$6),Q9+('Insumos y gastos'!$Q$15*N9*2),IF(AND(O9="NO",P9='Insumos y gastos'!$P$6),Productos!Q9+('Insumos y gastos'!$Q$15*Productos!N9),IF(AND(O9="SI",P9='Insumos y gastos'!$R$6),Q9+('Insumos y gastos'!$S$15*N9*2),IF(AND(O9="NO",P9='Insumos y gastos'!$R$6),Productos!Q9+('Insumos y gastos'!$S$15*Productos!N9),IF(AND(O9="SI",P9='Insumos y gastos'!$T$6),Q9+('Insumos y gastos'!$U$15*N9*2),IF(AND(O9="NO",P9='Insumos y gastos'!$T$6),Productos!Q9+('Insumos y gastos'!$U$15*Productos!N9),0))))))))))))</f>
        <v>0</v>
      </c>
      <c r="S9" s="79"/>
      <c r="T9" s="83">
        <f>IFERROR(VLOOKUP(S9,Tabla1[[#All],[Nombre insumo]:[Pr. Unidad]],4,0),0)</f>
        <v>0</v>
      </c>
      <c r="U9" s="11"/>
      <c r="V9" s="11"/>
      <c r="W9" s="11"/>
      <c r="X9" s="83">
        <f t="shared" si="6"/>
        <v>0</v>
      </c>
      <c r="Y9" s="83">
        <f>IF(AND(V9="SI",W9='Insumos y gastos'!$J$6),X9+('Insumos y gastos'!$K$15*U9*2),IF(AND(V9="NO",W9='Insumos y gastos'!$J$6),Productos!X9+('Insumos y gastos'!$K$15*Productos!U9),IF(AND(V9="SI",W9='Insumos y gastos'!$L$6),X9+('Insumos y gastos'!$M$15*U9*2),IF(AND(V9="NO",W9='Insumos y gastos'!$L$6),Productos!X9+('Insumos y gastos'!$M$15*Productos!U9),IF(AND(V9="SI",W9='Insumos y gastos'!$N$6),X9+('Insumos y gastos'!$O$15*U9*2),IF(AND(V9="NO",W9='Insumos y gastos'!$N$6),Productos!X9+('Insumos y gastos'!$O$15*Productos!U9),IF(AND(V9="SI",W9='Insumos y gastos'!$P$6),X9+('Insumos y gastos'!$Q$15*U9*2),IF(AND(V9="NO",W9='Insumos y gastos'!$P$6),Productos!X9+('Insumos y gastos'!$Q$15*Productos!U9),IF(AND(V9="SI",W9='Insumos y gastos'!$R$6),X9+('Insumos y gastos'!$S$15*U9*2),IF(AND(V9="NO",W9='Insumos y gastos'!$R$6),Productos!X9+('Insumos y gastos'!$S$15*Productos!U9),IF(AND(V9="SI",W9='Insumos y gastos'!$T$6),X9+('Insumos y gastos'!$U$15*U9*2),IF(AND(V9="NO",W9='Insumos y gastos'!$T$6),Productos!X9+('Insumos y gastos'!$U$15*Productos!U9),0))))))))))))</f>
        <v>0</v>
      </c>
      <c r="Z9" s="79"/>
      <c r="AA9" s="83">
        <f>IFERROR(VLOOKUP(Z9,Tabla1[[#All],[Nombre insumo]:[Pr. Unidad]],4,0),0)</f>
        <v>0</v>
      </c>
      <c r="AB9" s="11"/>
      <c r="AC9" s="11"/>
      <c r="AD9" s="11"/>
      <c r="AE9" s="83">
        <f t="shared" si="7"/>
        <v>0</v>
      </c>
      <c r="AF9" s="83">
        <f>IF(AND(AC9="SI",AD9='Insumos y gastos'!$J$6),AE9+('Insumos y gastos'!$K$15*AB9*2),IF(AND(AC9="NO",AD9='Insumos y gastos'!$J$6),Productos!AE9+('Insumos y gastos'!$K$15*Productos!AB9),IF(AND(AC9="SI",AD9='Insumos y gastos'!$L$6),AE9+('Insumos y gastos'!$M$15*AB9*2),IF(AND(AC9="NO",AD9='Insumos y gastos'!$L$6),Productos!AE9+('Insumos y gastos'!$M$15*Productos!AB9),IF(AND(AC9="SI",AD9='Insumos y gastos'!$N$6),AE9+('Insumos y gastos'!$O$15*AB9*2),IF(AND(AC9="NO",AD9='Insumos y gastos'!$N$6),Productos!AE9+('Insumos y gastos'!$O$15*Productos!AB9),IF(AND(AC9="SI",AD9='Insumos y gastos'!$P$6),AE9+('Insumos y gastos'!$Q$15*AB9*2),IF(AND(AC9="NO",AD9='Insumos y gastos'!$P$6),Productos!AE9+('Insumos y gastos'!$Q$15*Productos!AB9),IF(AND(AC9="SI",AD9='Insumos y gastos'!$R$6),AE9+('Insumos y gastos'!$S$15*AB9*2),IF(AND(AC9="NO",AD9='Insumos y gastos'!$R$6),Productos!AE9+('Insumos y gastos'!$S$15*Productos!AB9),IF(AND(AC9="SI",AD9='Insumos y gastos'!$T$6),AE9+('Insumos y gastos'!$U$15*AB9*2),IF(AND(AC9="NO",AD9='Insumos y gastos'!$T$6),Productos!AE9+('Insumos y gastos'!$U$15*Productos!AB9),0))))))))))))</f>
        <v>0</v>
      </c>
      <c r="AG9" s="79"/>
      <c r="AH9" s="83">
        <f>IFERROR(VLOOKUP(AG9,Tabla1[[#All],[Nombre insumo]:[Pr. Unidad]],4,0),0)</f>
        <v>0</v>
      </c>
      <c r="AI9" s="11"/>
      <c r="AJ9" s="11"/>
      <c r="AK9" s="11"/>
      <c r="AL9" s="83">
        <f t="shared" si="8"/>
        <v>0</v>
      </c>
      <c r="AM9" s="83">
        <f>IF(AND(AJ9="SI",AK9='Insumos y gastos'!$J$6),AL9+('Insumos y gastos'!$K$15*AI9*2),IF(AND(AJ9="NO",AK9='Insumos y gastos'!$J$6),Productos!AL9+('Insumos y gastos'!$K$15*Productos!AI9),IF(AND(AJ9="SI",AK9='Insumos y gastos'!$L$6),AL9+('Insumos y gastos'!$M$15*AI9*2),IF(AND(AJ9="NO",AK9='Insumos y gastos'!$L$6),Productos!AL9+('Insumos y gastos'!$M$15*Productos!AI9),IF(AND(AJ9="SI",AK9='Insumos y gastos'!$N$6),AL9+('Insumos y gastos'!$O$15*AI9*2),IF(AND(AJ9="NO",AK9='Insumos y gastos'!$N$6),Productos!AL9+('Insumos y gastos'!$O$15*Productos!AI9),IF(AND(AJ9="SI",AK9='Insumos y gastos'!$P$6),AL9+('Insumos y gastos'!$Q$15*AI9*2),IF(AND(AJ9="NO",AK9='Insumos y gastos'!$P$6),Productos!AL9+('Insumos y gastos'!$Q$15*Productos!AI9),IF(AND(AJ9="SI",AK9='Insumos y gastos'!$R$6),AL9+('Insumos y gastos'!$S$15*AI9*2),IF(AND(AJ9="NO",AK9='Insumos y gastos'!$R$6),Productos!AL9+('Insumos y gastos'!$S$15*Productos!AI9),IF(AND(AJ9="SI",AK9='Insumos y gastos'!$T$6),AL9+('Insumos y gastos'!$U$15*AI9*2),IF(AND(AJ9="NO",AK9='Insumos y gastos'!$T$6),Productos!AL9+('Insumos y gastos'!$U$15*Productos!AI9),0))))))))))))</f>
        <v>0</v>
      </c>
      <c r="AN9" s="79"/>
      <c r="AO9" s="84">
        <f>IFERROR(VLOOKUP(AN9,Tabla1[[#All],[Nombre insumo]:[Pr. Unidad]],4,0),0)</f>
        <v>0</v>
      </c>
      <c r="AP9" s="11"/>
      <c r="AQ9" s="84">
        <f>IF(Tabla3[[#This Row],[Costo insumo 1]]&gt;0,Tabla3[[#This Row],[Cantidad insumo 1]]*Tabla3[[#This Row],[Costo insumo 1]],0)</f>
        <v>0</v>
      </c>
      <c r="AR9" s="79"/>
      <c r="AS9" s="84">
        <f>IFERROR(VLOOKUP(AR9,Tabla1[[#All],[Nombre insumo]:[Pr. Unidad]],4,0),0)</f>
        <v>0</v>
      </c>
      <c r="AT9" s="11"/>
      <c r="AU9" s="84">
        <f>IF(Tabla3[[#This Row],[Costo insumo 2]]&gt;0,Tabla3[[#This Row],[Cantidad insumo 2]]*Tabla3[[#This Row],[Costo insumo 2]],0)</f>
        <v>0</v>
      </c>
      <c r="AV9" s="79"/>
      <c r="AW9" s="84">
        <f>IFERROR(VLOOKUP(AV9,Tabla1[[#All],[Nombre insumo]:[Pr. Unidad]],4,0),0)</f>
        <v>0</v>
      </c>
      <c r="AX9" s="11"/>
      <c r="AY9" s="84">
        <f>IF(Tabla3[[#This Row],[Costo insumo 3]]&gt;0,Tabla3[[#This Row],[Cantidad insumo 3]]*Tabla3[[#This Row],[Costo insumo 3]],0)</f>
        <v>0</v>
      </c>
      <c r="AZ9" s="79"/>
      <c r="BA9" s="84">
        <f>IFERROR(VLOOKUP(AZ9,Tabla1[[#All],[Nombre insumo]:[Pr. Unidad]],4,0),0)</f>
        <v>0</v>
      </c>
      <c r="BB9" s="11"/>
      <c r="BC9" s="85">
        <f>IF(Tabla3[[#This Row],[Costo insumo 4]]&gt;0,Tabla3[[#This Row],[Cantidad insumo 4]]*Tabla3[[#This Row],[Costo insumo 4]],0)</f>
        <v>0</v>
      </c>
      <c r="BD9" s="11"/>
      <c r="BE9" s="84">
        <f>IFERROR(VLOOKUP(BD9,Tabla1[[#All],[Nombre insumo]:[Pr. Unidad]],4,0),0)</f>
        <v>0</v>
      </c>
      <c r="BF9" s="11"/>
      <c r="BG9" s="85">
        <f>IF(Tabla3[[#This Row],[Costo insumo 5]]&gt;0,Tabla3[[#This Row],[Cantidad insumo 5]]*Tabla3[[#This Row],[Costo insumo 5]],0)</f>
        <v>0</v>
      </c>
      <c r="BH9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9" s="11"/>
      <c r="BJ9" s="87">
        <f>BI9*'Insumos y gastos'!$M$50</f>
        <v>0</v>
      </c>
      <c r="BK9" s="87">
        <f>BI9*'Insumos y gastos'!$Q$24</f>
        <v>0</v>
      </c>
      <c r="BL9" s="87">
        <f>Tabla3[[#This Row],[Costo sin servicios]]+Tabla3[[#This Row],[Costo servicios]]+Tabla3[[#This Row],[Costo mano de obra]]</f>
        <v>0</v>
      </c>
    </row>
    <row r="10" spans="1:64" ht="20.100000000000001" customHeight="1" x14ac:dyDescent="0.25">
      <c r="A10" s="11">
        <v>10008</v>
      </c>
      <c r="B10" s="95"/>
      <c r="C10" s="11"/>
      <c r="D10" s="80"/>
      <c r="E10" s="11"/>
      <c r="F10" s="83">
        <f>IFERROR(VLOOKUP(E10,Tabla1[[#All],[Nombre insumo]:[Pr. Unidad]],4,0),0)</f>
        <v>0</v>
      </c>
      <c r="G10" s="11"/>
      <c r="H10" s="11"/>
      <c r="I10" s="11"/>
      <c r="J10" s="83">
        <f t="shared" si="4"/>
        <v>0</v>
      </c>
      <c r="K10" s="81">
        <f>IF(AND(H10="SI",I10='Insumos y gastos'!$J$6),J10+('Insumos y gastos'!$K$15*G10*2),IF(AND(H10="NO",I10='Insumos y gastos'!$J$6),Productos!J10+('Insumos y gastos'!$K$15*Productos!G10),IF(AND(H10="SI",I10='Insumos y gastos'!$L$6),J10+('Insumos y gastos'!$M$15*G10*2),IF(AND(H10="NO",I10='Insumos y gastos'!$L$6),Productos!J10+('Insumos y gastos'!$M$15*Productos!G10),IF(AND(H10="SI",I10='Insumos y gastos'!$N$6),J10+('Insumos y gastos'!$O$15*G10*2),IF(AND(H10="NO",I10='Insumos y gastos'!$N$6),Productos!J10+('Insumos y gastos'!$O$15*Productos!G10),IF(AND(H10="SI",I10='Insumos y gastos'!$P$6),J10+('Insumos y gastos'!$Q$15*G10*2),IF(AND(H10="NO",I10='Insumos y gastos'!$P$6),Productos!J10+('Insumos y gastos'!$Q$15*Productos!G10),IF(AND(H10="SI",I10='Insumos y gastos'!$R$6),J10+('Insumos y gastos'!$S$15*G10*2),IF(AND(H10="NO",I10='Insumos y gastos'!$R$6),Productos!J10+('Insumos y gastos'!$S$15*Productos!G10),IF(AND(H10="SI",I10='Insumos y gastos'!$T$6),J10+('Insumos y gastos'!$U$15*G10*2),IF(AND(H10="NO",I10='Insumos y gastos'!$T$6),Productos!J10+('Insumos y gastos'!$U$15*Productos!G10),0))))))))))))</f>
        <v>0</v>
      </c>
      <c r="L10" s="11"/>
      <c r="M10" s="83">
        <f>IFERROR(VLOOKUP(L10,Tabla1[[#All],[Nombre insumo]:[Pr. Unidad]],4,0),0)</f>
        <v>0</v>
      </c>
      <c r="N10" s="11"/>
      <c r="O10" s="11"/>
      <c r="P10" s="11"/>
      <c r="Q10" s="83">
        <f t="shared" si="5"/>
        <v>0</v>
      </c>
      <c r="R10" s="83">
        <f>IF(AND(O10="SI",P10='Insumos y gastos'!$J$6),Q10+('Insumos y gastos'!$K$15*N10*2),IF(AND(O10="NO",P10='Insumos y gastos'!$J$6),Productos!Q10+('Insumos y gastos'!$K$15*Productos!N10),IF(AND(O10="SI",P10='Insumos y gastos'!$L$6),Q10+('Insumos y gastos'!$M$15*N10*2),IF(AND(O10="NO",P10='Insumos y gastos'!$L$6),Productos!Q10+('Insumos y gastos'!$M$15*Productos!N10),IF(AND(O10="SI",P10='Insumos y gastos'!$N$6),Q10+('Insumos y gastos'!$O$15*N10*2),IF(AND(O10="NO",P10='Insumos y gastos'!$N$6),Productos!Q10+('Insumos y gastos'!$O$15*Productos!N10),IF(AND(O10="SI",P10='Insumos y gastos'!$P$6),Q10+('Insumos y gastos'!$Q$15*N10*2),IF(AND(O10="NO",P10='Insumos y gastos'!$P$6),Productos!Q10+('Insumos y gastos'!$Q$15*Productos!N10),IF(AND(O10="SI",P10='Insumos y gastos'!$R$6),Q10+('Insumos y gastos'!$S$15*N10*2),IF(AND(O10="NO",P10='Insumos y gastos'!$R$6),Productos!Q10+('Insumos y gastos'!$S$15*Productos!N10),IF(AND(O10="SI",P10='Insumos y gastos'!$T$6),Q10+('Insumos y gastos'!$U$15*N10*2),IF(AND(O10="NO",P10='Insumos y gastos'!$T$6),Productos!Q10+('Insumos y gastos'!$U$15*Productos!N10),0))))))))))))</f>
        <v>0</v>
      </c>
      <c r="S10" s="79"/>
      <c r="T10" s="83">
        <f>IFERROR(VLOOKUP(S10,Tabla1[[#All],[Nombre insumo]:[Pr. Unidad]],4,0),0)</f>
        <v>0</v>
      </c>
      <c r="U10" s="11"/>
      <c r="V10" s="11"/>
      <c r="W10" s="11"/>
      <c r="X10" s="83">
        <f t="shared" si="6"/>
        <v>0</v>
      </c>
      <c r="Y10" s="83">
        <f>IF(AND(V10="SI",W10='Insumos y gastos'!$J$6),X10+('Insumos y gastos'!$K$15*U10*2),IF(AND(V10="NO",W10='Insumos y gastos'!$J$6),Productos!X10+('Insumos y gastos'!$K$15*Productos!U10),IF(AND(V10="SI",W10='Insumos y gastos'!$L$6),X10+('Insumos y gastos'!$M$15*U10*2),IF(AND(V10="NO",W10='Insumos y gastos'!$L$6),Productos!X10+('Insumos y gastos'!$M$15*Productos!U10),IF(AND(V10="SI",W10='Insumos y gastos'!$N$6),X10+('Insumos y gastos'!$O$15*U10*2),IF(AND(V10="NO",W10='Insumos y gastos'!$N$6),Productos!X10+('Insumos y gastos'!$O$15*Productos!U10),IF(AND(V10="SI",W10='Insumos y gastos'!$P$6),X10+('Insumos y gastos'!$Q$15*U10*2),IF(AND(V10="NO",W10='Insumos y gastos'!$P$6),Productos!X10+('Insumos y gastos'!$Q$15*Productos!U10),IF(AND(V10="SI",W10='Insumos y gastos'!$R$6),X10+('Insumos y gastos'!$S$15*U10*2),IF(AND(V10="NO",W10='Insumos y gastos'!$R$6),Productos!X10+('Insumos y gastos'!$S$15*Productos!U10),IF(AND(V10="SI",W10='Insumos y gastos'!$T$6),X10+('Insumos y gastos'!$U$15*U10*2),IF(AND(V10="NO",W10='Insumos y gastos'!$T$6),Productos!X10+('Insumos y gastos'!$U$15*Productos!U10),0))))))))))))</f>
        <v>0</v>
      </c>
      <c r="Z10" s="79"/>
      <c r="AA10" s="83">
        <f>IFERROR(VLOOKUP(Z10,Tabla1[[#All],[Nombre insumo]:[Pr. Unidad]],4,0),0)</f>
        <v>0</v>
      </c>
      <c r="AB10" s="11"/>
      <c r="AC10" s="11"/>
      <c r="AD10" s="11"/>
      <c r="AE10" s="83">
        <f t="shared" si="7"/>
        <v>0</v>
      </c>
      <c r="AF10" s="83">
        <f>IF(AND(AC10="SI",AD10='Insumos y gastos'!$J$6),AE10+('Insumos y gastos'!$K$15*AB10*2),IF(AND(AC10="NO",AD10='Insumos y gastos'!$J$6),Productos!AE10+('Insumos y gastos'!$K$15*Productos!AB10),IF(AND(AC10="SI",AD10='Insumos y gastos'!$L$6),AE10+('Insumos y gastos'!$M$15*AB10*2),IF(AND(AC10="NO",AD10='Insumos y gastos'!$L$6),Productos!AE10+('Insumos y gastos'!$M$15*Productos!AB10),IF(AND(AC10="SI",AD10='Insumos y gastos'!$N$6),AE10+('Insumos y gastos'!$O$15*AB10*2),IF(AND(AC10="NO",AD10='Insumos y gastos'!$N$6),Productos!AE10+('Insumos y gastos'!$O$15*Productos!AB10),IF(AND(AC10="SI",AD10='Insumos y gastos'!$P$6),AE10+('Insumos y gastos'!$Q$15*AB10*2),IF(AND(AC10="NO",AD10='Insumos y gastos'!$P$6),Productos!AE10+('Insumos y gastos'!$Q$15*Productos!AB10),IF(AND(AC10="SI",AD10='Insumos y gastos'!$R$6),AE10+('Insumos y gastos'!$S$15*AB10*2),IF(AND(AC10="NO",AD10='Insumos y gastos'!$R$6),Productos!AE10+('Insumos y gastos'!$S$15*Productos!AB10),IF(AND(AC10="SI",AD10='Insumos y gastos'!$T$6),AE10+('Insumos y gastos'!$U$15*AB10*2),IF(AND(AC10="NO",AD10='Insumos y gastos'!$T$6),Productos!AE10+('Insumos y gastos'!$U$15*Productos!AB10),0))))))))))))</f>
        <v>0</v>
      </c>
      <c r="AG10" s="79"/>
      <c r="AH10" s="83">
        <f>IFERROR(VLOOKUP(AG10,Tabla1[[#All],[Nombre insumo]:[Pr. Unidad]],4,0),0)</f>
        <v>0</v>
      </c>
      <c r="AI10" s="11"/>
      <c r="AJ10" s="11"/>
      <c r="AK10" s="11"/>
      <c r="AL10" s="83">
        <f t="shared" si="8"/>
        <v>0</v>
      </c>
      <c r="AM10" s="83">
        <f>IF(AND(AJ10="SI",AK10='Insumos y gastos'!$J$6),AL10+('Insumos y gastos'!$K$15*AI10*2),IF(AND(AJ10="NO",AK10='Insumos y gastos'!$J$6),Productos!AL10+('Insumos y gastos'!$K$15*Productos!AI10),IF(AND(AJ10="SI",AK10='Insumos y gastos'!$L$6),AL10+('Insumos y gastos'!$M$15*AI10*2),IF(AND(AJ10="NO",AK10='Insumos y gastos'!$L$6),Productos!AL10+('Insumos y gastos'!$M$15*Productos!AI10),IF(AND(AJ10="SI",AK10='Insumos y gastos'!$N$6),AL10+('Insumos y gastos'!$O$15*AI10*2),IF(AND(AJ10="NO",AK10='Insumos y gastos'!$N$6),Productos!AL10+('Insumos y gastos'!$O$15*Productos!AI10),IF(AND(AJ10="SI",AK10='Insumos y gastos'!$P$6),AL10+('Insumos y gastos'!$Q$15*AI10*2),IF(AND(AJ10="NO",AK10='Insumos y gastos'!$P$6),Productos!AL10+('Insumos y gastos'!$Q$15*Productos!AI10),IF(AND(AJ10="SI",AK10='Insumos y gastos'!$R$6),AL10+('Insumos y gastos'!$S$15*AI10*2),IF(AND(AJ10="NO",AK10='Insumos y gastos'!$R$6),Productos!AL10+('Insumos y gastos'!$S$15*Productos!AI10),IF(AND(AJ10="SI",AK10='Insumos y gastos'!$T$6),AL10+('Insumos y gastos'!$U$15*AI10*2),IF(AND(AJ10="NO",AK10='Insumos y gastos'!$T$6),Productos!AL10+('Insumos y gastos'!$U$15*Productos!AI10),0))))))))))))</f>
        <v>0</v>
      </c>
      <c r="AN10" s="79"/>
      <c r="AO10" s="84">
        <f>IFERROR(VLOOKUP(AN10,Tabla1[[#All],[Nombre insumo]:[Pr. Unidad]],4,0),0)</f>
        <v>0</v>
      </c>
      <c r="AP10" s="11"/>
      <c r="AQ10" s="84">
        <f>IF(Tabla3[[#This Row],[Costo insumo 1]]&gt;0,Tabla3[[#This Row],[Cantidad insumo 1]]*Tabla3[[#This Row],[Costo insumo 1]],0)</f>
        <v>0</v>
      </c>
      <c r="AR10" s="79"/>
      <c r="AS10" s="84">
        <f>IFERROR(VLOOKUP(AR10,Tabla1[[#All],[Nombre insumo]:[Pr. Unidad]],4,0),0)</f>
        <v>0</v>
      </c>
      <c r="AT10" s="11"/>
      <c r="AU10" s="84">
        <f>IF(Tabla3[[#This Row],[Costo insumo 2]]&gt;0,Tabla3[[#This Row],[Cantidad insumo 2]]*Tabla3[[#This Row],[Costo insumo 2]],0)</f>
        <v>0</v>
      </c>
      <c r="AV10" s="79"/>
      <c r="AW10" s="84">
        <f>IFERROR(VLOOKUP(AV10,Tabla1[[#All],[Nombre insumo]:[Pr. Unidad]],4,0),0)</f>
        <v>0</v>
      </c>
      <c r="AX10" s="11"/>
      <c r="AY10" s="84">
        <f>IF(Tabla3[[#This Row],[Costo insumo 3]]&gt;0,Tabla3[[#This Row],[Cantidad insumo 3]]*Tabla3[[#This Row],[Costo insumo 3]],0)</f>
        <v>0</v>
      </c>
      <c r="AZ10" s="79"/>
      <c r="BA10" s="84">
        <f>IFERROR(VLOOKUP(AZ10,Tabla1[[#All],[Nombre insumo]:[Pr. Unidad]],4,0),0)</f>
        <v>0</v>
      </c>
      <c r="BB10" s="11"/>
      <c r="BC10" s="85">
        <f>IF(Tabla3[[#This Row],[Costo insumo 4]]&gt;0,Tabla3[[#This Row],[Cantidad insumo 4]]*Tabla3[[#This Row],[Costo insumo 4]],0)</f>
        <v>0</v>
      </c>
      <c r="BD10" s="11"/>
      <c r="BE10" s="84">
        <f>IFERROR(VLOOKUP(BD10,Tabla1[[#All],[Nombre insumo]:[Pr. Unidad]],4,0),0)</f>
        <v>0</v>
      </c>
      <c r="BF10" s="11"/>
      <c r="BG10" s="85">
        <f>IF(Tabla3[[#This Row],[Costo insumo 5]]&gt;0,Tabla3[[#This Row],[Cantidad insumo 5]]*Tabla3[[#This Row],[Costo insumo 5]],0)</f>
        <v>0</v>
      </c>
      <c r="BH10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10" s="11"/>
      <c r="BJ10" s="87">
        <f>BI10*'Insumos y gastos'!$M$50</f>
        <v>0</v>
      </c>
      <c r="BK10" s="87">
        <f>BI10*'Insumos y gastos'!$Q$24</f>
        <v>0</v>
      </c>
      <c r="BL10" s="87">
        <f>Tabla3[[#This Row],[Costo sin servicios]]+Tabla3[[#This Row],[Costo servicios]]+Tabla3[[#This Row],[Costo mano de obra]]</f>
        <v>0</v>
      </c>
    </row>
    <row r="11" spans="1:64" ht="20.100000000000001" customHeight="1" x14ac:dyDescent="0.25">
      <c r="A11" s="11">
        <v>10009</v>
      </c>
      <c r="B11" s="95"/>
      <c r="C11" s="11"/>
      <c r="D11" s="80"/>
      <c r="E11" s="11"/>
      <c r="F11" s="83">
        <f>IFERROR(VLOOKUP(E11,Tabla1[[#All],[Nombre insumo]:[Pr. Unidad]],4,0),0)</f>
        <v>0</v>
      </c>
      <c r="G11" s="11"/>
      <c r="H11" s="11"/>
      <c r="I11" s="11"/>
      <c r="J11" s="83">
        <f t="shared" si="4"/>
        <v>0</v>
      </c>
      <c r="K11" s="81">
        <f>IF(AND(H11="SI",I11='Insumos y gastos'!$J$6),J11+('Insumos y gastos'!$K$15*G11*2),IF(AND(H11="NO",I11='Insumos y gastos'!$J$6),Productos!J11+('Insumos y gastos'!$K$15*Productos!G11),IF(AND(H11="SI",I11='Insumos y gastos'!$L$6),J11+('Insumos y gastos'!$M$15*G11*2),IF(AND(H11="NO",I11='Insumos y gastos'!$L$6),Productos!J11+('Insumos y gastos'!$M$15*Productos!G11),IF(AND(H11="SI",I11='Insumos y gastos'!$N$6),J11+('Insumos y gastos'!$O$15*G11*2),IF(AND(H11="NO",I11='Insumos y gastos'!$N$6),Productos!J11+('Insumos y gastos'!$O$15*Productos!G11),IF(AND(H11="SI",I11='Insumos y gastos'!$P$6),J11+('Insumos y gastos'!$Q$15*G11*2),IF(AND(H11="NO",I11='Insumos y gastos'!$P$6),Productos!J11+('Insumos y gastos'!$Q$15*Productos!G11),IF(AND(H11="SI",I11='Insumos y gastos'!$R$6),J11+('Insumos y gastos'!$S$15*G11*2),IF(AND(H11="NO",I11='Insumos y gastos'!$R$6),Productos!J11+('Insumos y gastos'!$S$15*Productos!G11),IF(AND(H11="SI",I11='Insumos y gastos'!$T$6),J11+('Insumos y gastos'!$U$15*G11*2),IF(AND(H11="NO",I11='Insumos y gastos'!$T$6),Productos!J11+('Insumos y gastos'!$U$15*Productos!G11),0))))))))))))</f>
        <v>0</v>
      </c>
      <c r="L11" s="11"/>
      <c r="M11" s="83">
        <f>IFERROR(VLOOKUP(L11,Tabla1[[#All],[Nombre insumo]:[Pr. Unidad]],4,0),0)</f>
        <v>0</v>
      </c>
      <c r="N11" s="11"/>
      <c r="O11" s="11"/>
      <c r="P11" s="11"/>
      <c r="Q11" s="83">
        <f t="shared" si="5"/>
        <v>0</v>
      </c>
      <c r="R11" s="83">
        <f>IF(AND(O11="SI",P11='Insumos y gastos'!$J$6),Q11+('Insumos y gastos'!$K$15*N11*2),IF(AND(O11="NO",P11='Insumos y gastos'!$J$6),Productos!Q11+('Insumos y gastos'!$K$15*Productos!N11),IF(AND(O11="SI",P11='Insumos y gastos'!$L$6),Q11+('Insumos y gastos'!$M$15*N11*2),IF(AND(O11="NO",P11='Insumos y gastos'!$L$6),Productos!Q11+('Insumos y gastos'!$M$15*Productos!N11),IF(AND(O11="SI",P11='Insumos y gastos'!$N$6),Q11+('Insumos y gastos'!$O$15*N11*2),IF(AND(O11="NO",P11='Insumos y gastos'!$N$6),Productos!Q11+('Insumos y gastos'!$O$15*Productos!N11),IF(AND(O11="SI",P11='Insumos y gastos'!$P$6),Q11+('Insumos y gastos'!$Q$15*N11*2),IF(AND(O11="NO",P11='Insumos y gastos'!$P$6),Productos!Q11+('Insumos y gastos'!$Q$15*Productos!N11),IF(AND(O11="SI",P11='Insumos y gastos'!$R$6),Q11+('Insumos y gastos'!$S$15*N11*2),IF(AND(O11="NO",P11='Insumos y gastos'!$R$6),Productos!Q11+('Insumos y gastos'!$S$15*Productos!N11),IF(AND(O11="SI",P11='Insumos y gastos'!$T$6),Q11+('Insumos y gastos'!$U$15*N11*2),IF(AND(O11="NO",P11='Insumos y gastos'!$T$6),Productos!Q11+('Insumos y gastos'!$U$15*Productos!N11),0))))))))))))</f>
        <v>0</v>
      </c>
      <c r="S11" s="79"/>
      <c r="T11" s="83">
        <f>IFERROR(VLOOKUP(S11,Tabla1[[#All],[Nombre insumo]:[Pr. Unidad]],4,0),0)</f>
        <v>0</v>
      </c>
      <c r="U11" s="11"/>
      <c r="V11" s="11"/>
      <c r="W11" s="11"/>
      <c r="X11" s="83">
        <f t="shared" si="6"/>
        <v>0</v>
      </c>
      <c r="Y11" s="83">
        <f>IF(AND(V11="SI",W11='Insumos y gastos'!$J$6),X11+('Insumos y gastos'!$K$15*U11*2),IF(AND(V11="NO",W11='Insumos y gastos'!$J$6),Productos!X11+('Insumos y gastos'!$K$15*Productos!U11),IF(AND(V11="SI",W11='Insumos y gastos'!$L$6),X11+('Insumos y gastos'!$M$15*U11*2),IF(AND(V11="NO",W11='Insumos y gastos'!$L$6),Productos!X11+('Insumos y gastos'!$M$15*Productos!U11),IF(AND(V11="SI",W11='Insumos y gastos'!$N$6),X11+('Insumos y gastos'!$O$15*U11*2),IF(AND(V11="NO",W11='Insumos y gastos'!$N$6),Productos!X11+('Insumos y gastos'!$O$15*Productos!U11),IF(AND(V11="SI",W11='Insumos y gastos'!$P$6),X11+('Insumos y gastos'!$Q$15*U11*2),IF(AND(V11="NO",W11='Insumos y gastos'!$P$6),Productos!X11+('Insumos y gastos'!$Q$15*Productos!U11),IF(AND(V11="SI",W11='Insumos y gastos'!$R$6),X11+('Insumos y gastos'!$S$15*U11*2),IF(AND(V11="NO",W11='Insumos y gastos'!$R$6),Productos!X11+('Insumos y gastos'!$S$15*Productos!U11),IF(AND(V11="SI",W11='Insumos y gastos'!$T$6),X11+('Insumos y gastos'!$U$15*U11*2),IF(AND(V11="NO",W11='Insumos y gastos'!$T$6),Productos!X11+('Insumos y gastos'!$U$15*Productos!U11),0))))))))))))</f>
        <v>0</v>
      </c>
      <c r="Z11" s="79"/>
      <c r="AA11" s="83">
        <f>IFERROR(VLOOKUP(Z11,Tabla1[[#All],[Nombre insumo]:[Pr. Unidad]],4,0),0)</f>
        <v>0</v>
      </c>
      <c r="AB11" s="11"/>
      <c r="AC11" s="11"/>
      <c r="AD11" s="11"/>
      <c r="AE11" s="83">
        <f t="shared" si="7"/>
        <v>0</v>
      </c>
      <c r="AF11" s="83">
        <f>IF(AND(AC11="SI",AD11='Insumos y gastos'!$J$6),AE11+('Insumos y gastos'!$K$15*AB11*2),IF(AND(AC11="NO",AD11='Insumos y gastos'!$J$6),Productos!AE11+('Insumos y gastos'!$K$15*Productos!AB11),IF(AND(AC11="SI",AD11='Insumos y gastos'!$L$6),AE11+('Insumos y gastos'!$M$15*AB11*2),IF(AND(AC11="NO",AD11='Insumos y gastos'!$L$6),Productos!AE11+('Insumos y gastos'!$M$15*Productos!AB11),IF(AND(AC11="SI",AD11='Insumos y gastos'!$N$6),AE11+('Insumos y gastos'!$O$15*AB11*2),IF(AND(AC11="NO",AD11='Insumos y gastos'!$N$6),Productos!AE11+('Insumos y gastos'!$O$15*Productos!AB11),IF(AND(AC11="SI",AD11='Insumos y gastos'!$P$6),AE11+('Insumos y gastos'!$Q$15*AB11*2),IF(AND(AC11="NO",AD11='Insumos y gastos'!$P$6),Productos!AE11+('Insumos y gastos'!$Q$15*Productos!AB11),IF(AND(AC11="SI",AD11='Insumos y gastos'!$R$6),AE11+('Insumos y gastos'!$S$15*AB11*2),IF(AND(AC11="NO",AD11='Insumos y gastos'!$R$6),Productos!AE11+('Insumos y gastos'!$S$15*Productos!AB11),IF(AND(AC11="SI",AD11='Insumos y gastos'!$T$6),AE11+('Insumos y gastos'!$U$15*AB11*2),IF(AND(AC11="NO",AD11='Insumos y gastos'!$T$6),Productos!AE11+('Insumos y gastos'!$U$15*Productos!AB11),0))))))))))))</f>
        <v>0</v>
      </c>
      <c r="AG11" s="79"/>
      <c r="AH11" s="83">
        <f>IFERROR(VLOOKUP(AG11,Tabla1[[#All],[Nombre insumo]:[Pr. Unidad]],4,0),0)</f>
        <v>0</v>
      </c>
      <c r="AI11" s="11"/>
      <c r="AJ11" s="11"/>
      <c r="AK11" s="11"/>
      <c r="AL11" s="83">
        <f t="shared" si="8"/>
        <v>0</v>
      </c>
      <c r="AM11" s="83">
        <f>IF(AND(AJ11="SI",AK11='Insumos y gastos'!$J$6),AL11+('Insumos y gastos'!$K$15*AI11*2),IF(AND(AJ11="NO",AK11='Insumos y gastos'!$J$6),Productos!AL11+('Insumos y gastos'!$K$15*Productos!AI11),IF(AND(AJ11="SI",AK11='Insumos y gastos'!$L$6),AL11+('Insumos y gastos'!$M$15*AI11*2),IF(AND(AJ11="NO",AK11='Insumos y gastos'!$L$6),Productos!AL11+('Insumos y gastos'!$M$15*Productos!AI11),IF(AND(AJ11="SI",AK11='Insumos y gastos'!$N$6),AL11+('Insumos y gastos'!$O$15*AI11*2),IF(AND(AJ11="NO",AK11='Insumos y gastos'!$N$6),Productos!AL11+('Insumos y gastos'!$O$15*Productos!AI11),IF(AND(AJ11="SI",AK11='Insumos y gastos'!$P$6),AL11+('Insumos y gastos'!$Q$15*AI11*2),IF(AND(AJ11="NO",AK11='Insumos y gastos'!$P$6),Productos!AL11+('Insumos y gastos'!$Q$15*Productos!AI11),IF(AND(AJ11="SI",AK11='Insumos y gastos'!$R$6),AL11+('Insumos y gastos'!$S$15*AI11*2),IF(AND(AJ11="NO",AK11='Insumos y gastos'!$R$6),Productos!AL11+('Insumos y gastos'!$S$15*Productos!AI11),IF(AND(AJ11="SI",AK11='Insumos y gastos'!$T$6),AL11+('Insumos y gastos'!$U$15*AI11*2),IF(AND(AJ11="NO",AK11='Insumos y gastos'!$T$6),Productos!AL11+('Insumos y gastos'!$U$15*Productos!AI11),0))))))))))))</f>
        <v>0</v>
      </c>
      <c r="AN11" s="79"/>
      <c r="AO11" s="84">
        <f>IFERROR(VLOOKUP(AN11,Tabla1[[#All],[Nombre insumo]:[Pr. Unidad]],4,0),0)</f>
        <v>0</v>
      </c>
      <c r="AP11" s="11"/>
      <c r="AQ11" s="84">
        <f>IF(Tabla3[[#This Row],[Costo insumo 1]]&gt;0,Tabla3[[#This Row],[Cantidad insumo 1]]*Tabla3[[#This Row],[Costo insumo 1]],0)</f>
        <v>0</v>
      </c>
      <c r="AR11" s="79"/>
      <c r="AS11" s="84">
        <f>IFERROR(VLOOKUP(AR11,Tabla1[[#All],[Nombre insumo]:[Pr. Unidad]],4,0),0)</f>
        <v>0</v>
      </c>
      <c r="AT11" s="11"/>
      <c r="AU11" s="84">
        <f>IF(Tabla3[[#This Row],[Costo insumo 2]]&gt;0,Tabla3[[#This Row],[Cantidad insumo 2]]*Tabla3[[#This Row],[Costo insumo 2]],0)</f>
        <v>0</v>
      </c>
      <c r="AV11" s="79"/>
      <c r="AW11" s="84">
        <f>IFERROR(VLOOKUP(AV11,Tabla1[[#All],[Nombre insumo]:[Pr. Unidad]],4,0),0)</f>
        <v>0</v>
      </c>
      <c r="AX11" s="11"/>
      <c r="AY11" s="84">
        <f>IF(Tabla3[[#This Row],[Costo insumo 3]]&gt;0,Tabla3[[#This Row],[Cantidad insumo 3]]*Tabla3[[#This Row],[Costo insumo 3]],0)</f>
        <v>0</v>
      </c>
      <c r="AZ11" s="79"/>
      <c r="BA11" s="84">
        <f>IFERROR(VLOOKUP(AZ11,Tabla1[[#All],[Nombre insumo]:[Pr. Unidad]],4,0),0)</f>
        <v>0</v>
      </c>
      <c r="BB11" s="11"/>
      <c r="BC11" s="85">
        <f>IF(Tabla3[[#This Row],[Costo insumo 4]]&gt;0,Tabla3[[#This Row],[Cantidad insumo 4]]*Tabla3[[#This Row],[Costo insumo 4]],0)</f>
        <v>0</v>
      </c>
      <c r="BD11" s="11"/>
      <c r="BE11" s="84">
        <f>IFERROR(VLOOKUP(BD11,Tabla1[[#All],[Nombre insumo]:[Pr. Unidad]],4,0),0)</f>
        <v>0</v>
      </c>
      <c r="BF11" s="11"/>
      <c r="BG11" s="85">
        <f>IF(Tabla3[[#This Row],[Costo insumo 5]]&gt;0,Tabla3[[#This Row],[Cantidad insumo 5]]*Tabla3[[#This Row],[Costo insumo 5]],0)</f>
        <v>0</v>
      </c>
      <c r="BH11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11" s="11"/>
      <c r="BJ11" s="87">
        <f>BI11*'Insumos y gastos'!$M$50</f>
        <v>0</v>
      </c>
      <c r="BK11" s="87">
        <f>BI11*'Insumos y gastos'!$Q$24</f>
        <v>0</v>
      </c>
      <c r="BL11" s="87">
        <f>Tabla3[[#This Row],[Costo sin servicios]]+Tabla3[[#This Row],[Costo servicios]]+Tabla3[[#This Row],[Costo mano de obra]]</f>
        <v>0</v>
      </c>
    </row>
    <row r="12" spans="1:64" ht="20.100000000000001" customHeight="1" x14ac:dyDescent="0.25">
      <c r="A12" s="11">
        <v>10010</v>
      </c>
      <c r="B12" s="95"/>
      <c r="C12" s="11"/>
      <c r="D12" s="80"/>
      <c r="E12" s="11"/>
      <c r="F12" s="83">
        <f>IFERROR(VLOOKUP(E12,Tabla1[[#All],[Nombre insumo]:[Pr. Unidad]],4,0),0)</f>
        <v>0</v>
      </c>
      <c r="G12" s="11"/>
      <c r="H12" s="11"/>
      <c r="I12" s="11"/>
      <c r="J12" s="83">
        <f t="shared" si="4"/>
        <v>0</v>
      </c>
      <c r="K12" s="81">
        <f>IF(AND(H12="SI",I12='Insumos y gastos'!$J$6),J12+('Insumos y gastos'!$K$15*G12*2),IF(AND(H12="NO",I12='Insumos y gastos'!$J$6),Productos!J12+('Insumos y gastos'!$K$15*Productos!G12),IF(AND(H12="SI",I12='Insumos y gastos'!$L$6),J12+('Insumos y gastos'!$M$15*G12*2),IF(AND(H12="NO",I12='Insumos y gastos'!$L$6),Productos!J12+('Insumos y gastos'!$M$15*Productos!G12),IF(AND(H12="SI",I12='Insumos y gastos'!$N$6),J12+('Insumos y gastos'!$O$15*G12*2),IF(AND(H12="NO",I12='Insumos y gastos'!$N$6),Productos!J12+('Insumos y gastos'!$O$15*Productos!G12),IF(AND(H12="SI",I12='Insumos y gastos'!$P$6),J12+('Insumos y gastos'!$Q$15*G12*2),IF(AND(H12="NO",I12='Insumos y gastos'!$P$6),Productos!J12+('Insumos y gastos'!$Q$15*Productos!G12),IF(AND(H12="SI",I12='Insumos y gastos'!$R$6),J12+('Insumos y gastos'!$S$15*G12*2),IF(AND(H12="NO",I12='Insumos y gastos'!$R$6),Productos!J12+('Insumos y gastos'!$S$15*Productos!G12),IF(AND(H12="SI",I12='Insumos y gastos'!$T$6),J12+('Insumos y gastos'!$U$15*G12*2),IF(AND(H12="NO",I12='Insumos y gastos'!$T$6),Productos!J12+('Insumos y gastos'!$U$15*Productos!G12),0))))))))))))</f>
        <v>0</v>
      </c>
      <c r="L12" s="11"/>
      <c r="M12" s="83">
        <f>IFERROR(VLOOKUP(L12,Tabla1[[#All],[Nombre insumo]:[Pr. Unidad]],4,0),0)</f>
        <v>0</v>
      </c>
      <c r="N12" s="11"/>
      <c r="O12" s="11"/>
      <c r="P12" s="11"/>
      <c r="Q12" s="83">
        <f t="shared" si="5"/>
        <v>0</v>
      </c>
      <c r="R12" s="83">
        <f>IF(AND(O12="SI",P12='Insumos y gastos'!$J$6),Q12+('Insumos y gastos'!$K$15*N12*2),IF(AND(O12="NO",P12='Insumos y gastos'!$J$6),Productos!Q12+('Insumos y gastos'!$K$15*Productos!N12),IF(AND(O12="SI",P12='Insumos y gastos'!$L$6),Q12+('Insumos y gastos'!$M$15*N12*2),IF(AND(O12="NO",P12='Insumos y gastos'!$L$6),Productos!Q12+('Insumos y gastos'!$M$15*Productos!N12),IF(AND(O12="SI",P12='Insumos y gastos'!$N$6),Q12+('Insumos y gastos'!$O$15*N12*2),IF(AND(O12="NO",P12='Insumos y gastos'!$N$6),Productos!Q12+('Insumos y gastos'!$O$15*Productos!N12),IF(AND(O12="SI",P12='Insumos y gastos'!$P$6),Q12+('Insumos y gastos'!$Q$15*N12*2),IF(AND(O12="NO",P12='Insumos y gastos'!$P$6),Productos!Q12+('Insumos y gastos'!$Q$15*Productos!N12),IF(AND(O12="SI",P12='Insumos y gastos'!$R$6),Q12+('Insumos y gastos'!$S$15*N12*2),IF(AND(O12="NO",P12='Insumos y gastos'!$R$6),Productos!Q12+('Insumos y gastos'!$S$15*Productos!N12),IF(AND(O12="SI",P12='Insumos y gastos'!$T$6),Q12+('Insumos y gastos'!$U$15*N12*2),IF(AND(O12="NO",P12='Insumos y gastos'!$T$6),Productos!Q12+('Insumos y gastos'!$U$15*Productos!N12),0))))))))))))</f>
        <v>0</v>
      </c>
      <c r="S12" s="79"/>
      <c r="T12" s="83">
        <f>IFERROR(VLOOKUP(S12,Tabla1[[#All],[Nombre insumo]:[Pr. Unidad]],4,0),0)</f>
        <v>0</v>
      </c>
      <c r="U12" s="11"/>
      <c r="V12" s="11"/>
      <c r="W12" s="11"/>
      <c r="X12" s="83">
        <f t="shared" si="6"/>
        <v>0</v>
      </c>
      <c r="Y12" s="83">
        <f>IF(AND(V12="SI",W12='Insumos y gastos'!$J$6),X12+('Insumos y gastos'!$K$15*U12*2),IF(AND(V12="NO",W12='Insumos y gastos'!$J$6),Productos!X12+('Insumos y gastos'!$K$15*Productos!U12),IF(AND(V12="SI",W12='Insumos y gastos'!$L$6),X12+('Insumos y gastos'!$M$15*U12*2),IF(AND(V12="NO",W12='Insumos y gastos'!$L$6),Productos!X12+('Insumos y gastos'!$M$15*Productos!U12),IF(AND(V12="SI",W12='Insumos y gastos'!$N$6),X12+('Insumos y gastos'!$O$15*U12*2),IF(AND(V12="NO",W12='Insumos y gastos'!$N$6),Productos!X12+('Insumos y gastos'!$O$15*Productos!U12),IF(AND(V12="SI",W12='Insumos y gastos'!$P$6),X12+('Insumos y gastos'!$Q$15*U12*2),IF(AND(V12="NO",W12='Insumos y gastos'!$P$6),Productos!X12+('Insumos y gastos'!$Q$15*Productos!U12),IF(AND(V12="SI",W12='Insumos y gastos'!$R$6),X12+('Insumos y gastos'!$S$15*U12*2),IF(AND(V12="NO",W12='Insumos y gastos'!$R$6),Productos!X12+('Insumos y gastos'!$S$15*Productos!U12),IF(AND(V12="SI",W12='Insumos y gastos'!$T$6),X12+('Insumos y gastos'!$U$15*U12*2),IF(AND(V12="NO",W12='Insumos y gastos'!$T$6),Productos!X12+('Insumos y gastos'!$U$15*Productos!U12),0))))))))))))</f>
        <v>0</v>
      </c>
      <c r="Z12" s="79"/>
      <c r="AA12" s="83">
        <f>IFERROR(VLOOKUP(Z12,Tabla1[[#All],[Nombre insumo]:[Pr. Unidad]],4,0),0)</f>
        <v>0</v>
      </c>
      <c r="AB12" s="11"/>
      <c r="AC12" s="11"/>
      <c r="AD12" s="11"/>
      <c r="AE12" s="83">
        <f t="shared" si="7"/>
        <v>0</v>
      </c>
      <c r="AF12" s="83">
        <f>IF(AND(AC12="SI",AD12='Insumos y gastos'!$J$6),AE12+('Insumos y gastos'!$K$15*AB12*2),IF(AND(AC12="NO",AD12='Insumos y gastos'!$J$6),Productos!AE12+('Insumos y gastos'!$K$15*Productos!AB12),IF(AND(AC12="SI",AD12='Insumos y gastos'!$L$6),AE12+('Insumos y gastos'!$M$15*AB12*2),IF(AND(AC12="NO",AD12='Insumos y gastos'!$L$6),Productos!AE12+('Insumos y gastos'!$M$15*Productos!AB12),IF(AND(AC12="SI",AD12='Insumos y gastos'!$N$6),AE12+('Insumos y gastos'!$O$15*AB12*2),IF(AND(AC12="NO",AD12='Insumos y gastos'!$N$6),Productos!AE12+('Insumos y gastos'!$O$15*Productos!AB12),IF(AND(AC12="SI",AD12='Insumos y gastos'!$P$6),AE12+('Insumos y gastos'!$Q$15*AB12*2),IF(AND(AC12="NO",AD12='Insumos y gastos'!$P$6),Productos!AE12+('Insumos y gastos'!$Q$15*Productos!AB12),IF(AND(AC12="SI",AD12='Insumos y gastos'!$R$6),AE12+('Insumos y gastos'!$S$15*AB12*2),IF(AND(AC12="NO",AD12='Insumos y gastos'!$R$6),Productos!AE12+('Insumos y gastos'!$S$15*Productos!AB12),IF(AND(AC12="SI",AD12='Insumos y gastos'!$T$6),AE12+('Insumos y gastos'!$U$15*AB12*2),IF(AND(AC12="NO",AD12='Insumos y gastos'!$T$6),Productos!AE12+('Insumos y gastos'!$U$15*Productos!AB12),0))))))))))))</f>
        <v>0</v>
      </c>
      <c r="AG12" s="79"/>
      <c r="AH12" s="83">
        <f>IFERROR(VLOOKUP(AG12,Tabla1[[#All],[Nombre insumo]:[Pr. Unidad]],4,0),0)</f>
        <v>0</v>
      </c>
      <c r="AI12" s="11"/>
      <c r="AJ12" s="11"/>
      <c r="AK12" s="11"/>
      <c r="AL12" s="83">
        <f t="shared" si="8"/>
        <v>0</v>
      </c>
      <c r="AM12" s="83">
        <f>IF(AND(AJ12="SI",AK12='Insumos y gastos'!$J$6),AL12+('Insumos y gastos'!$K$15*AI12*2),IF(AND(AJ12="NO",AK12='Insumos y gastos'!$J$6),Productos!AL12+('Insumos y gastos'!$K$15*Productos!AI12),IF(AND(AJ12="SI",AK12='Insumos y gastos'!$L$6),AL12+('Insumos y gastos'!$M$15*AI12*2),IF(AND(AJ12="NO",AK12='Insumos y gastos'!$L$6),Productos!AL12+('Insumos y gastos'!$M$15*Productos!AI12),IF(AND(AJ12="SI",AK12='Insumos y gastos'!$N$6),AL12+('Insumos y gastos'!$O$15*AI12*2),IF(AND(AJ12="NO",AK12='Insumos y gastos'!$N$6),Productos!AL12+('Insumos y gastos'!$O$15*Productos!AI12),IF(AND(AJ12="SI",AK12='Insumos y gastos'!$P$6),AL12+('Insumos y gastos'!$Q$15*AI12*2),IF(AND(AJ12="NO",AK12='Insumos y gastos'!$P$6),Productos!AL12+('Insumos y gastos'!$Q$15*Productos!AI12),IF(AND(AJ12="SI",AK12='Insumos y gastos'!$R$6),AL12+('Insumos y gastos'!$S$15*AI12*2),IF(AND(AJ12="NO",AK12='Insumos y gastos'!$R$6),Productos!AL12+('Insumos y gastos'!$S$15*Productos!AI12),IF(AND(AJ12="SI",AK12='Insumos y gastos'!$T$6),AL12+('Insumos y gastos'!$U$15*AI12*2),IF(AND(AJ12="NO",AK12='Insumos y gastos'!$T$6),Productos!AL12+('Insumos y gastos'!$U$15*Productos!AI12),0))))))))))))</f>
        <v>0</v>
      </c>
      <c r="AN12" s="79"/>
      <c r="AO12" s="84">
        <f>IFERROR(VLOOKUP(AN12,Tabla1[[#All],[Nombre insumo]:[Pr. Unidad]],4,0),0)</f>
        <v>0</v>
      </c>
      <c r="AP12" s="11"/>
      <c r="AQ12" s="84">
        <f>IF(Tabla3[[#This Row],[Costo insumo 1]]&gt;0,Tabla3[[#This Row],[Cantidad insumo 1]]*Tabla3[[#This Row],[Costo insumo 1]],0)</f>
        <v>0</v>
      </c>
      <c r="AR12" s="79"/>
      <c r="AS12" s="84">
        <f>IFERROR(VLOOKUP(AR12,Tabla1[[#All],[Nombre insumo]:[Pr. Unidad]],4,0),0)</f>
        <v>0</v>
      </c>
      <c r="AT12" s="11"/>
      <c r="AU12" s="84">
        <f>IF(Tabla3[[#This Row],[Costo insumo 2]]&gt;0,Tabla3[[#This Row],[Cantidad insumo 2]]*Tabla3[[#This Row],[Costo insumo 2]],0)</f>
        <v>0</v>
      </c>
      <c r="AV12" s="79"/>
      <c r="AW12" s="84">
        <f>IFERROR(VLOOKUP(AV12,Tabla1[[#All],[Nombre insumo]:[Pr. Unidad]],4,0),0)</f>
        <v>0</v>
      </c>
      <c r="AX12" s="11"/>
      <c r="AY12" s="84">
        <f>IF(Tabla3[[#This Row],[Costo insumo 3]]&gt;0,Tabla3[[#This Row],[Cantidad insumo 3]]*Tabla3[[#This Row],[Costo insumo 3]],0)</f>
        <v>0</v>
      </c>
      <c r="AZ12" s="79"/>
      <c r="BA12" s="84">
        <f>IFERROR(VLOOKUP(AZ12,Tabla1[[#All],[Nombre insumo]:[Pr. Unidad]],4,0),0)</f>
        <v>0</v>
      </c>
      <c r="BB12" s="11"/>
      <c r="BC12" s="85">
        <f>IF(Tabla3[[#This Row],[Costo insumo 4]]&gt;0,Tabla3[[#This Row],[Cantidad insumo 4]]*Tabla3[[#This Row],[Costo insumo 4]],0)</f>
        <v>0</v>
      </c>
      <c r="BD12" s="11"/>
      <c r="BE12" s="84">
        <f>IFERROR(VLOOKUP(BD12,Tabla1[[#All],[Nombre insumo]:[Pr. Unidad]],4,0),0)</f>
        <v>0</v>
      </c>
      <c r="BF12" s="11"/>
      <c r="BG12" s="85">
        <f>IF(Tabla3[[#This Row],[Costo insumo 5]]&gt;0,Tabla3[[#This Row],[Cantidad insumo 5]]*Tabla3[[#This Row],[Costo insumo 5]],0)</f>
        <v>0</v>
      </c>
      <c r="BH12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12" s="11"/>
      <c r="BJ12" s="87">
        <f>BI12*'Insumos y gastos'!$M$50</f>
        <v>0</v>
      </c>
      <c r="BK12" s="87">
        <f>BI12*'Insumos y gastos'!$Q$24</f>
        <v>0</v>
      </c>
      <c r="BL12" s="87">
        <f>Tabla3[[#This Row],[Costo sin servicios]]+Tabla3[[#This Row],[Costo servicios]]+Tabla3[[#This Row],[Costo mano de obra]]</f>
        <v>0</v>
      </c>
    </row>
    <row r="13" spans="1:64" ht="20.100000000000001" customHeight="1" x14ac:dyDescent="0.25">
      <c r="A13" s="11">
        <v>10011</v>
      </c>
      <c r="B13" s="95"/>
      <c r="C13" s="11"/>
      <c r="D13" s="80"/>
      <c r="E13" s="11"/>
      <c r="F13" s="83">
        <f>IFERROR(VLOOKUP(E13,Tabla1[[#All],[Nombre insumo]:[Pr. Unidad]],4,0),0)</f>
        <v>0</v>
      </c>
      <c r="G13" s="11"/>
      <c r="H13" s="11"/>
      <c r="I13" s="11"/>
      <c r="J13" s="83">
        <f t="shared" si="4"/>
        <v>0</v>
      </c>
      <c r="K13" s="81">
        <f>IF(AND(H13="SI",I13='Insumos y gastos'!$J$6),J13+('Insumos y gastos'!$K$15*G13*2),IF(AND(H13="NO",I13='Insumos y gastos'!$J$6),Productos!J13+('Insumos y gastos'!$K$15*Productos!G13),IF(AND(H13="SI",I13='Insumos y gastos'!$L$6),J13+('Insumos y gastos'!$M$15*G13*2),IF(AND(H13="NO",I13='Insumos y gastos'!$L$6),Productos!J13+('Insumos y gastos'!$M$15*Productos!G13),IF(AND(H13="SI",I13='Insumos y gastos'!$N$6),J13+('Insumos y gastos'!$O$15*G13*2),IF(AND(H13="NO",I13='Insumos y gastos'!$N$6),Productos!J13+('Insumos y gastos'!$O$15*Productos!G13),IF(AND(H13="SI",I13='Insumos y gastos'!$P$6),J13+('Insumos y gastos'!$Q$15*G13*2),IF(AND(H13="NO",I13='Insumos y gastos'!$P$6),Productos!J13+('Insumos y gastos'!$Q$15*Productos!G13),IF(AND(H13="SI",I13='Insumos y gastos'!$R$6),J13+('Insumos y gastos'!$S$15*G13*2),IF(AND(H13="NO",I13='Insumos y gastos'!$R$6),Productos!J13+('Insumos y gastos'!$S$15*Productos!G13),IF(AND(H13="SI",I13='Insumos y gastos'!$T$6),J13+('Insumos y gastos'!$U$15*G13*2),IF(AND(H13="NO",I13='Insumos y gastos'!$T$6),Productos!J13+('Insumos y gastos'!$U$15*Productos!G13),0))))))))))))</f>
        <v>0</v>
      </c>
      <c r="L13" s="11"/>
      <c r="M13" s="83">
        <f>IFERROR(VLOOKUP(L13,Tabla1[[#All],[Nombre insumo]:[Pr. Unidad]],4,0),0)</f>
        <v>0</v>
      </c>
      <c r="N13" s="11"/>
      <c r="O13" s="11"/>
      <c r="P13" s="11"/>
      <c r="Q13" s="83">
        <f t="shared" si="5"/>
        <v>0</v>
      </c>
      <c r="R13" s="83">
        <f>IF(AND(O13="SI",P13='Insumos y gastos'!$J$6),Q13+('Insumos y gastos'!$K$15*N13*2),IF(AND(O13="NO",P13='Insumos y gastos'!$J$6),Productos!Q13+('Insumos y gastos'!$K$15*Productos!N13),IF(AND(O13="SI",P13='Insumos y gastos'!$L$6),Q13+('Insumos y gastos'!$M$15*N13*2),IF(AND(O13="NO",P13='Insumos y gastos'!$L$6),Productos!Q13+('Insumos y gastos'!$M$15*Productos!N13),IF(AND(O13="SI",P13='Insumos y gastos'!$N$6),Q13+('Insumos y gastos'!$O$15*N13*2),IF(AND(O13="NO",P13='Insumos y gastos'!$N$6),Productos!Q13+('Insumos y gastos'!$O$15*Productos!N13),IF(AND(O13="SI",P13='Insumos y gastos'!$P$6),Q13+('Insumos y gastos'!$Q$15*N13*2),IF(AND(O13="NO",P13='Insumos y gastos'!$P$6),Productos!Q13+('Insumos y gastos'!$Q$15*Productos!N13),IF(AND(O13="SI",P13='Insumos y gastos'!$R$6),Q13+('Insumos y gastos'!$S$15*N13*2),IF(AND(O13="NO",P13='Insumos y gastos'!$R$6),Productos!Q13+('Insumos y gastos'!$S$15*Productos!N13),IF(AND(O13="SI",P13='Insumos y gastos'!$T$6),Q13+('Insumos y gastos'!$U$15*N13*2),IF(AND(O13="NO",P13='Insumos y gastos'!$T$6),Productos!Q13+('Insumos y gastos'!$U$15*Productos!N13),0))))))))))))</f>
        <v>0</v>
      </c>
      <c r="S13" s="79"/>
      <c r="T13" s="83">
        <f>IFERROR(VLOOKUP(S13,Tabla1[[#All],[Nombre insumo]:[Pr. Unidad]],4,0),0)</f>
        <v>0</v>
      </c>
      <c r="U13" s="11"/>
      <c r="V13" s="11"/>
      <c r="W13" s="11"/>
      <c r="X13" s="83">
        <f t="shared" si="6"/>
        <v>0</v>
      </c>
      <c r="Y13" s="83">
        <f>IF(AND(V13="SI",W13='Insumos y gastos'!$J$6),X13+('Insumos y gastos'!$K$15*U13*2),IF(AND(V13="NO",W13='Insumos y gastos'!$J$6),Productos!X13+('Insumos y gastos'!$K$15*Productos!U13),IF(AND(V13="SI",W13='Insumos y gastos'!$L$6),X13+('Insumos y gastos'!$M$15*U13*2),IF(AND(V13="NO",W13='Insumos y gastos'!$L$6),Productos!X13+('Insumos y gastos'!$M$15*Productos!U13),IF(AND(V13="SI",W13='Insumos y gastos'!$N$6),X13+('Insumos y gastos'!$O$15*U13*2),IF(AND(V13="NO",W13='Insumos y gastos'!$N$6),Productos!X13+('Insumos y gastos'!$O$15*Productos!U13),IF(AND(V13="SI",W13='Insumos y gastos'!$P$6),X13+('Insumos y gastos'!$Q$15*U13*2),IF(AND(V13="NO",W13='Insumos y gastos'!$P$6),Productos!X13+('Insumos y gastos'!$Q$15*Productos!U13),IF(AND(V13="SI",W13='Insumos y gastos'!$R$6),X13+('Insumos y gastos'!$S$15*U13*2),IF(AND(V13="NO",W13='Insumos y gastos'!$R$6),Productos!X13+('Insumos y gastos'!$S$15*Productos!U13),IF(AND(V13="SI",W13='Insumos y gastos'!$T$6),X13+('Insumos y gastos'!$U$15*U13*2),IF(AND(V13="NO",W13='Insumos y gastos'!$T$6),Productos!X13+('Insumos y gastos'!$U$15*Productos!U13),0))))))))))))</f>
        <v>0</v>
      </c>
      <c r="Z13" s="79"/>
      <c r="AA13" s="83">
        <f>IFERROR(VLOOKUP(Z13,Tabla1[[#All],[Nombre insumo]:[Pr. Unidad]],4,0),0)</f>
        <v>0</v>
      </c>
      <c r="AB13" s="11"/>
      <c r="AC13" s="11"/>
      <c r="AD13" s="11"/>
      <c r="AE13" s="83">
        <f t="shared" si="7"/>
        <v>0</v>
      </c>
      <c r="AF13" s="83">
        <f>IF(AND(AC13="SI",AD13='Insumos y gastos'!$J$6),AE13+('Insumos y gastos'!$K$15*AB13*2),IF(AND(AC13="NO",AD13='Insumos y gastos'!$J$6),Productos!AE13+('Insumos y gastos'!$K$15*Productos!AB13),IF(AND(AC13="SI",AD13='Insumos y gastos'!$L$6),AE13+('Insumos y gastos'!$M$15*AB13*2),IF(AND(AC13="NO",AD13='Insumos y gastos'!$L$6),Productos!AE13+('Insumos y gastos'!$M$15*Productos!AB13),IF(AND(AC13="SI",AD13='Insumos y gastos'!$N$6),AE13+('Insumos y gastos'!$O$15*AB13*2),IF(AND(AC13="NO",AD13='Insumos y gastos'!$N$6),Productos!AE13+('Insumos y gastos'!$O$15*Productos!AB13),IF(AND(AC13="SI",AD13='Insumos y gastos'!$P$6),AE13+('Insumos y gastos'!$Q$15*AB13*2),IF(AND(AC13="NO",AD13='Insumos y gastos'!$P$6),Productos!AE13+('Insumos y gastos'!$Q$15*Productos!AB13),IF(AND(AC13="SI",AD13='Insumos y gastos'!$R$6),AE13+('Insumos y gastos'!$S$15*AB13*2),IF(AND(AC13="NO",AD13='Insumos y gastos'!$R$6),Productos!AE13+('Insumos y gastos'!$S$15*Productos!AB13),IF(AND(AC13="SI",AD13='Insumos y gastos'!$T$6),AE13+('Insumos y gastos'!$U$15*AB13*2),IF(AND(AC13="NO",AD13='Insumos y gastos'!$T$6),Productos!AE13+('Insumos y gastos'!$U$15*Productos!AB13),0))))))))))))</f>
        <v>0</v>
      </c>
      <c r="AG13" s="79"/>
      <c r="AH13" s="83">
        <f>IFERROR(VLOOKUP(AG13,Tabla1[[#All],[Nombre insumo]:[Pr. Unidad]],4,0),0)</f>
        <v>0</v>
      </c>
      <c r="AI13" s="11"/>
      <c r="AJ13" s="11"/>
      <c r="AK13" s="11"/>
      <c r="AL13" s="83">
        <f t="shared" si="8"/>
        <v>0</v>
      </c>
      <c r="AM13" s="83">
        <f>IF(AND(AJ13="SI",AK13='Insumos y gastos'!$J$6),AL13+('Insumos y gastos'!$K$15*AI13*2),IF(AND(AJ13="NO",AK13='Insumos y gastos'!$J$6),Productos!AL13+('Insumos y gastos'!$K$15*Productos!AI13),IF(AND(AJ13="SI",AK13='Insumos y gastos'!$L$6),AL13+('Insumos y gastos'!$M$15*AI13*2),IF(AND(AJ13="NO",AK13='Insumos y gastos'!$L$6),Productos!AL13+('Insumos y gastos'!$M$15*Productos!AI13),IF(AND(AJ13="SI",AK13='Insumos y gastos'!$N$6),AL13+('Insumos y gastos'!$O$15*AI13*2),IF(AND(AJ13="NO",AK13='Insumos y gastos'!$N$6),Productos!AL13+('Insumos y gastos'!$O$15*Productos!AI13),IF(AND(AJ13="SI",AK13='Insumos y gastos'!$P$6),AL13+('Insumos y gastos'!$Q$15*AI13*2),IF(AND(AJ13="NO",AK13='Insumos y gastos'!$P$6),Productos!AL13+('Insumos y gastos'!$Q$15*Productos!AI13),IF(AND(AJ13="SI",AK13='Insumos y gastos'!$R$6),AL13+('Insumos y gastos'!$S$15*AI13*2),IF(AND(AJ13="NO",AK13='Insumos y gastos'!$R$6),Productos!AL13+('Insumos y gastos'!$S$15*Productos!AI13),IF(AND(AJ13="SI",AK13='Insumos y gastos'!$T$6),AL13+('Insumos y gastos'!$U$15*AI13*2),IF(AND(AJ13="NO",AK13='Insumos y gastos'!$T$6),Productos!AL13+('Insumos y gastos'!$U$15*Productos!AI13),0))))))))))))</f>
        <v>0</v>
      </c>
      <c r="AN13" s="79"/>
      <c r="AO13" s="84">
        <f>IFERROR(VLOOKUP(AN13,Tabla1[[#All],[Nombre insumo]:[Pr. Unidad]],4,0),0)</f>
        <v>0</v>
      </c>
      <c r="AP13" s="11"/>
      <c r="AQ13" s="84">
        <f>IF(Tabla3[[#This Row],[Costo insumo 1]]&gt;0,Tabla3[[#This Row],[Cantidad insumo 1]]*Tabla3[[#This Row],[Costo insumo 1]],0)</f>
        <v>0</v>
      </c>
      <c r="AR13" s="79"/>
      <c r="AS13" s="84">
        <f>IFERROR(VLOOKUP(AR13,Tabla1[[#All],[Nombre insumo]:[Pr. Unidad]],4,0),0)</f>
        <v>0</v>
      </c>
      <c r="AT13" s="11"/>
      <c r="AU13" s="84">
        <f>IF(Tabla3[[#This Row],[Costo insumo 2]]&gt;0,Tabla3[[#This Row],[Cantidad insumo 2]]*Tabla3[[#This Row],[Costo insumo 2]],0)</f>
        <v>0</v>
      </c>
      <c r="AV13" s="79"/>
      <c r="AW13" s="84">
        <f>IFERROR(VLOOKUP(AV13,Tabla1[[#All],[Nombre insumo]:[Pr. Unidad]],4,0),0)</f>
        <v>0</v>
      </c>
      <c r="AX13" s="11"/>
      <c r="AY13" s="84">
        <f>IF(Tabla3[[#This Row],[Costo insumo 3]]&gt;0,Tabla3[[#This Row],[Cantidad insumo 3]]*Tabla3[[#This Row],[Costo insumo 3]],0)</f>
        <v>0</v>
      </c>
      <c r="AZ13" s="79"/>
      <c r="BA13" s="84">
        <f>IFERROR(VLOOKUP(AZ13,Tabla1[[#All],[Nombre insumo]:[Pr. Unidad]],4,0),0)</f>
        <v>0</v>
      </c>
      <c r="BB13" s="11"/>
      <c r="BC13" s="85">
        <f>IF(Tabla3[[#This Row],[Costo insumo 4]]&gt;0,Tabla3[[#This Row],[Cantidad insumo 4]]*Tabla3[[#This Row],[Costo insumo 4]],0)</f>
        <v>0</v>
      </c>
      <c r="BD13" s="11"/>
      <c r="BE13" s="84">
        <f>IFERROR(VLOOKUP(BD13,Tabla1[[#All],[Nombre insumo]:[Pr. Unidad]],4,0),0)</f>
        <v>0</v>
      </c>
      <c r="BF13" s="11"/>
      <c r="BG13" s="85">
        <f>IF(Tabla3[[#This Row],[Costo insumo 5]]&gt;0,Tabla3[[#This Row],[Cantidad insumo 5]]*Tabla3[[#This Row],[Costo insumo 5]],0)</f>
        <v>0</v>
      </c>
      <c r="BH13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13" s="11"/>
      <c r="BJ13" s="87">
        <f>BI13*'Insumos y gastos'!$M$50</f>
        <v>0</v>
      </c>
      <c r="BK13" s="87">
        <f>BI13*'Insumos y gastos'!$Q$24</f>
        <v>0</v>
      </c>
      <c r="BL13" s="87">
        <f>Tabla3[[#This Row],[Costo sin servicios]]+Tabla3[[#This Row],[Costo servicios]]+Tabla3[[#This Row],[Costo mano de obra]]</f>
        <v>0</v>
      </c>
    </row>
    <row r="14" spans="1:64" ht="20.100000000000001" customHeight="1" x14ac:dyDescent="0.25">
      <c r="A14" s="11">
        <v>10012</v>
      </c>
      <c r="B14" s="95"/>
      <c r="C14" s="11"/>
      <c r="D14" s="80"/>
      <c r="E14" s="11"/>
      <c r="F14" s="83">
        <f>IFERROR(VLOOKUP(E14,Tabla1[[#All],[Nombre insumo]:[Pr. Unidad]],4,0),0)</f>
        <v>0</v>
      </c>
      <c r="G14" s="11"/>
      <c r="H14" s="11"/>
      <c r="I14" s="11"/>
      <c r="J14" s="83">
        <f t="shared" si="4"/>
        <v>0</v>
      </c>
      <c r="K14" s="81">
        <f>IF(AND(H14="SI",I14='Insumos y gastos'!$J$6),J14+('Insumos y gastos'!$K$15*G14*2),IF(AND(H14="NO",I14='Insumos y gastos'!$J$6),Productos!J14+('Insumos y gastos'!$K$15*Productos!G14),IF(AND(H14="SI",I14='Insumos y gastos'!$L$6),J14+('Insumos y gastos'!$M$15*G14*2),IF(AND(H14="NO",I14='Insumos y gastos'!$L$6),Productos!J14+('Insumos y gastos'!$M$15*Productos!G14),IF(AND(H14="SI",I14='Insumos y gastos'!$N$6),J14+('Insumos y gastos'!$O$15*G14*2),IF(AND(H14="NO",I14='Insumos y gastos'!$N$6),Productos!J14+('Insumos y gastos'!$O$15*Productos!G14),IF(AND(H14="SI",I14='Insumos y gastos'!$P$6),J14+('Insumos y gastos'!$Q$15*G14*2),IF(AND(H14="NO",I14='Insumos y gastos'!$P$6),Productos!J14+('Insumos y gastos'!$Q$15*Productos!G14),IF(AND(H14="SI",I14='Insumos y gastos'!$R$6),J14+('Insumos y gastos'!$S$15*G14*2),IF(AND(H14="NO",I14='Insumos y gastos'!$R$6),Productos!J14+('Insumos y gastos'!$S$15*Productos!G14),IF(AND(H14="SI",I14='Insumos y gastos'!$T$6),J14+('Insumos y gastos'!$U$15*G14*2),IF(AND(H14="NO",I14='Insumos y gastos'!$T$6),Productos!J14+('Insumos y gastos'!$U$15*Productos!G14),0))))))))))))</f>
        <v>0</v>
      </c>
      <c r="L14" s="11"/>
      <c r="M14" s="83">
        <f>IFERROR(VLOOKUP(L14,Tabla1[[#All],[Nombre insumo]:[Pr. Unidad]],4,0),0)</f>
        <v>0</v>
      </c>
      <c r="N14" s="11"/>
      <c r="O14" s="11"/>
      <c r="P14" s="11"/>
      <c r="Q14" s="83">
        <f t="shared" si="5"/>
        <v>0</v>
      </c>
      <c r="R14" s="83">
        <f>IF(AND(O14="SI",P14='Insumos y gastos'!$J$6),Q14+('Insumos y gastos'!$K$15*N14*2),IF(AND(O14="NO",P14='Insumos y gastos'!$J$6),Productos!Q14+('Insumos y gastos'!$K$15*Productos!N14),IF(AND(O14="SI",P14='Insumos y gastos'!$L$6),Q14+('Insumos y gastos'!$M$15*N14*2),IF(AND(O14="NO",P14='Insumos y gastos'!$L$6),Productos!Q14+('Insumos y gastos'!$M$15*Productos!N14),IF(AND(O14="SI",P14='Insumos y gastos'!$N$6),Q14+('Insumos y gastos'!$O$15*N14*2),IF(AND(O14="NO",P14='Insumos y gastos'!$N$6),Productos!Q14+('Insumos y gastos'!$O$15*Productos!N14),IF(AND(O14="SI",P14='Insumos y gastos'!$P$6),Q14+('Insumos y gastos'!$Q$15*N14*2),IF(AND(O14="NO",P14='Insumos y gastos'!$P$6),Productos!Q14+('Insumos y gastos'!$Q$15*Productos!N14),IF(AND(O14="SI",P14='Insumos y gastos'!$R$6),Q14+('Insumos y gastos'!$S$15*N14*2),IF(AND(O14="NO",P14='Insumos y gastos'!$R$6),Productos!Q14+('Insumos y gastos'!$S$15*Productos!N14),IF(AND(O14="SI",P14='Insumos y gastos'!$T$6),Q14+('Insumos y gastos'!$U$15*N14*2),IF(AND(O14="NO",P14='Insumos y gastos'!$T$6),Productos!Q14+('Insumos y gastos'!$U$15*Productos!N14),0))))))))))))</f>
        <v>0</v>
      </c>
      <c r="S14" s="79"/>
      <c r="T14" s="83">
        <f>IFERROR(VLOOKUP(S14,Tabla1[[#All],[Nombre insumo]:[Pr. Unidad]],4,0),0)</f>
        <v>0</v>
      </c>
      <c r="U14" s="11"/>
      <c r="V14" s="11"/>
      <c r="W14" s="11"/>
      <c r="X14" s="83">
        <f t="shared" si="6"/>
        <v>0</v>
      </c>
      <c r="Y14" s="83">
        <f>IF(AND(V14="SI",W14='Insumos y gastos'!$J$6),X14+('Insumos y gastos'!$K$15*U14*2),IF(AND(V14="NO",W14='Insumos y gastos'!$J$6),Productos!X14+('Insumos y gastos'!$K$15*Productos!U14),IF(AND(V14="SI",W14='Insumos y gastos'!$L$6),X14+('Insumos y gastos'!$M$15*U14*2),IF(AND(V14="NO",W14='Insumos y gastos'!$L$6),Productos!X14+('Insumos y gastos'!$M$15*Productos!U14),IF(AND(V14="SI",W14='Insumos y gastos'!$N$6),X14+('Insumos y gastos'!$O$15*U14*2),IF(AND(V14="NO",W14='Insumos y gastos'!$N$6),Productos!X14+('Insumos y gastos'!$O$15*Productos!U14),IF(AND(V14="SI",W14='Insumos y gastos'!$P$6),X14+('Insumos y gastos'!$Q$15*U14*2),IF(AND(V14="NO",W14='Insumos y gastos'!$P$6),Productos!X14+('Insumos y gastos'!$Q$15*Productos!U14),IF(AND(V14="SI",W14='Insumos y gastos'!$R$6),X14+('Insumos y gastos'!$S$15*U14*2),IF(AND(V14="NO",W14='Insumos y gastos'!$R$6),Productos!X14+('Insumos y gastos'!$S$15*Productos!U14),IF(AND(V14="SI",W14='Insumos y gastos'!$T$6),X14+('Insumos y gastos'!$U$15*U14*2),IF(AND(V14="NO",W14='Insumos y gastos'!$T$6),Productos!X14+('Insumos y gastos'!$U$15*Productos!U14),0))))))))))))</f>
        <v>0</v>
      </c>
      <c r="Z14" s="79"/>
      <c r="AA14" s="83">
        <f>IFERROR(VLOOKUP(Z14,Tabla1[[#All],[Nombre insumo]:[Pr. Unidad]],4,0),0)</f>
        <v>0</v>
      </c>
      <c r="AB14" s="11"/>
      <c r="AC14" s="11"/>
      <c r="AD14" s="11"/>
      <c r="AE14" s="83">
        <f t="shared" si="7"/>
        <v>0</v>
      </c>
      <c r="AF14" s="83">
        <f>IF(AND(AC14="SI",AD14='Insumos y gastos'!$J$6),AE14+('Insumos y gastos'!$K$15*AB14*2),IF(AND(AC14="NO",AD14='Insumos y gastos'!$J$6),Productos!AE14+('Insumos y gastos'!$K$15*Productos!AB14),IF(AND(AC14="SI",AD14='Insumos y gastos'!$L$6),AE14+('Insumos y gastos'!$M$15*AB14*2),IF(AND(AC14="NO",AD14='Insumos y gastos'!$L$6),Productos!AE14+('Insumos y gastos'!$M$15*Productos!AB14),IF(AND(AC14="SI",AD14='Insumos y gastos'!$N$6),AE14+('Insumos y gastos'!$O$15*AB14*2),IF(AND(AC14="NO",AD14='Insumos y gastos'!$N$6),Productos!AE14+('Insumos y gastos'!$O$15*Productos!AB14),IF(AND(AC14="SI",AD14='Insumos y gastos'!$P$6),AE14+('Insumos y gastos'!$Q$15*AB14*2),IF(AND(AC14="NO",AD14='Insumos y gastos'!$P$6),Productos!AE14+('Insumos y gastos'!$Q$15*Productos!AB14),IF(AND(AC14="SI",AD14='Insumos y gastos'!$R$6),AE14+('Insumos y gastos'!$S$15*AB14*2),IF(AND(AC14="NO",AD14='Insumos y gastos'!$R$6),Productos!AE14+('Insumos y gastos'!$S$15*Productos!AB14),IF(AND(AC14="SI",AD14='Insumos y gastos'!$T$6),AE14+('Insumos y gastos'!$U$15*AB14*2),IF(AND(AC14="NO",AD14='Insumos y gastos'!$T$6),Productos!AE14+('Insumos y gastos'!$U$15*Productos!AB14),0))))))))))))</f>
        <v>0</v>
      </c>
      <c r="AG14" s="79"/>
      <c r="AH14" s="83">
        <f>IFERROR(VLOOKUP(AG14,Tabla1[[#All],[Nombre insumo]:[Pr. Unidad]],4,0),0)</f>
        <v>0</v>
      </c>
      <c r="AI14" s="11"/>
      <c r="AJ14" s="11"/>
      <c r="AK14" s="11"/>
      <c r="AL14" s="83">
        <f t="shared" si="8"/>
        <v>0</v>
      </c>
      <c r="AM14" s="83">
        <f>IF(AND(AJ14="SI",AK14='Insumos y gastos'!$J$6),AL14+('Insumos y gastos'!$K$15*AI14*2),IF(AND(AJ14="NO",AK14='Insumos y gastos'!$J$6),Productos!AL14+('Insumos y gastos'!$K$15*Productos!AI14),IF(AND(AJ14="SI",AK14='Insumos y gastos'!$L$6),AL14+('Insumos y gastos'!$M$15*AI14*2),IF(AND(AJ14="NO",AK14='Insumos y gastos'!$L$6),Productos!AL14+('Insumos y gastos'!$M$15*Productos!AI14),IF(AND(AJ14="SI",AK14='Insumos y gastos'!$N$6),AL14+('Insumos y gastos'!$O$15*AI14*2),IF(AND(AJ14="NO",AK14='Insumos y gastos'!$N$6),Productos!AL14+('Insumos y gastos'!$O$15*Productos!AI14),IF(AND(AJ14="SI",AK14='Insumos y gastos'!$P$6),AL14+('Insumos y gastos'!$Q$15*AI14*2),IF(AND(AJ14="NO",AK14='Insumos y gastos'!$P$6),Productos!AL14+('Insumos y gastos'!$Q$15*Productos!AI14),IF(AND(AJ14="SI",AK14='Insumos y gastos'!$R$6),AL14+('Insumos y gastos'!$S$15*AI14*2),IF(AND(AJ14="NO",AK14='Insumos y gastos'!$R$6),Productos!AL14+('Insumos y gastos'!$S$15*Productos!AI14),IF(AND(AJ14="SI",AK14='Insumos y gastos'!$T$6),AL14+('Insumos y gastos'!$U$15*AI14*2),IF(AND(AJ14="NO",AK14='Insumos y gastos'!$T$6),Productos!AL14+('Insumos y gastos'!$U$15*Productos!AI14),0))))))))))))</f>
        <v>0</v>
      </c>
      <c r="AN14" s="79"/>
      <c r="AO14" s="84">
        <f>IFERROR(VLOOKUP(AN14,Tabla1[[#All],[Nombre insumo]:[Pr. Unidad]],4,0),0)</f>
        <v>0</v>
      </c>
      <c r="AP14" s="11"/>
      <c r="AQ14" s="84">
        <f>IF(Tabla3[[#This Row],[Costo insumo 1]]&gt;0,Tabla3[[#This Row],[Cantidad insumo 1]]*Tabla3[[#This Row],[Costo insumo 1]],0)</f>
        <v>0</v>
      </c>
      <c r="AR14" s="79"/>
      <c r="AS14" s="84">
        <f>IFERROR(VLOOKUP(AR14,Tabla1[[#All],[Nombre insumo]:[Pr. Unidad]],4,0),0)</f>
        <v>0</v>
      </c>
      <c r="AT14" s="11"/>
      <c r="AU14" s="84">
        <f>IF(Tabla3[[#This Row],[Costo insumo 2]]&gt;0,Tabla3[[#This Row],[Cantidad insumo 2]]*Tabla3[[#This Row],[Costo insumo 2]],0)</f>
        <v>0</v>
      </c>
      <c r="AV14" s="79"/>
      <c r="AW14" s="84">
        <f>IFERROR(VLOOKUP(AV14,Tabla1[[#All],[Nombre insumo]:[Pr. Unidad]],4,0),0)</f>
        <v>0</v>
      </c>
      <c r="AX14" s="11"/>
      <c r="AY14" s="84">
        <f>IF(Tabla3[[#This Row],[Costo insumo 3]]&gt;0,Tabla3[[#This Row],[Cantidad insumo 3]]*Tabla3[[#This Row],[Costo insumo 3]],0)</f>
        <v>0</v>
      </c>
      <c r="AZ14" s="79"/>
      <c r="BA14" s="84">
        <f>IFERROR(VLOOKUP(AZ14,Tabla1[[#All],[Nombre insumo]:[Pr. Unidad]],4,0),0)</f>
        <v>0</v>
      </c>
      <c r="BB14" s="11"/>
      <c r="BC14" s="85">
        <f>IF(Tabla3[[#This Row],[Costo insumo 4]]&gt;0,Tabla3[[#This Row],[Cantidad insumo 4]]*Tabla3[[#This Row],[Costo insumo 4]],0)</f>
        <v>0</v>
      </c>
      <c r="BD14" s="11"/>
      <c r="BE14" s="84">
        <f>IFERROR(VLOOKUP(BD14,Tabla1[[#All],[Nombre insumo]:[Pr. Unidad]],4,0),0)</f>
        <v>0</v>
      </c>
      <c r="BF14" s="11"/>
      <c r="BG14" s="85">
        <f>IF(Tabla3[[#This Row],[Costo insumo 5]]&gt;0,Tabla3[[#This Row],[Cantidad insumo 5]]*Tabla3[[#This Row],[Costo insumo 5]],0)</f>
        <v>0</v>
      </c>
      <c r="BH14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14" s="11"/>
      <c r="BJ14" s="87">
        <f>BI14*'Insumos y gastos'!$M$50</f>
        <v>0</v>
      </c>
      <c r="BK14" s="87">
        <f>BI14*'Insumos y gastos'!$Q$24</f>
        <v>0</v>
      </c>
      <c r="BL14" s="87">
        <f>Tabla3[[#This Row],[Costo sin servicios]]+Tabla3[[#This Row],[Costo servicios]]+Tabla3[[#This Row],[Costo mano de obra]]</f>
        <v>0</v>
      </c>
    </row>
    <row r="15" spans="1:64" ht="20.100000000000001" customHeight="1" x14ac:dyDescent="0.25">
      <c r="A15" s="11">
        <v>10013</v>
      </c>
      <c r="B15" s="95"/>
      <c r="C15" s="11"/>
      <c r="D15" s="80"/>
      <c r="E15" s="11"/>
      <c r="F15" s="83">
        <f>IFERROR(VLOOKUP(E15,Tabla1[[#All],[Nombre insumo]:[Pr. Unidad]],4,0),0)</f>
        <v>0</v>
      </c>
      <c r="G15" s="11"/>
      <c r="H15" s="11"/>
      <c r="I15" s="11"/>
      <c r="J15" s="83">
        <f t="shared" si="4"/>
        <v>0</v>
      </c>
      <c r="K15" s="81">
        <f>IF(AND(H15="SI",I15='Insumos y gastos'!$J$6),J15+('Insumos y gastos'!$K$15*G15*2),IF(AND(H15="NO",I15='Insumos y gastos'!$J$6),Productos!J15+('Insumos y gastos'!$K$15*Productos!G15),IF(AND(H15="SI",I15='Insumos y gastos'!$L$6),J15+('Insumos y gastos'!$M$15*G15*2),IF(AND(H15="NO",I15='Insumos y gastos'!$L$6),Productos!J15+('Insumos y gastos'!$M$15*Productos!G15),IF(AND(H15="SI",I15='Insumos y gastos'!$N$6),J15+('Insumos y gastos'!$O$15*G15*2),IF(AND(H15="NO",I15='Insumos y gastos'!$N$6),Productos!J15+('Insumos y gastos'!$O$15*Productos!G15),IF(AND(H15="SI",I15='Insumos y gastos'!$P$6),J15+('Insumos y gastos'!$Q$15*G15*2),IF(AND(H15="NO",I15='Insumos y gastos'!$P$6),Productos!J15+('Insumos y gastos'!$Q$15*Productos!G15),IF(AND(H15="SI",I15='Insumos y gastos'!$R$6),J15+('Insumos y gastos'!$S$15*G15*2),IF(AND(H15="NO",I15='Insumos y gastos'!$R$6),Productos!J15+('Insumos y gastos'!$S$15*Productos!G15),IF(AND(H15="SI",I15='Insumos y gastos'!$T$6),J15+('Insumos y gastos'!$U$15*G15*2),IF(AND(H15="NO",I15='Insumos y gastos'!$T$6),Productos!J15+('Insumos y gastos'!$U$15*Productos!G15),0))))))))))))</f>
        <v>0</v>
      </c>
      <c r="L15" s="11"/>
      <c r="M15" s="83">
        <f>IFERROR(VLOOKUP(L15,Tabla1[[#All],[Nombre insumo]:[Pr. Unidad]],4,0),0)</f>
        <v>0</v>
      </c>
      <c r="N15" s="11"/>
      <c r="O15" s="11"/>
      <c r="P15" s="11"/>
      <c r="Q15" s="83">
        <f t="shared" si="5"/>
        <v>0</v>
      </c>
      <c r="R15" s="83">
        <f>IF(AND(O15="SI",P15='Insumos y gastos'!$J$6),Q15+('Insumos y gastos'!$K$15*N15*2),IF(AND(O15="NO",P15='Insumos y gastos'!$J$6),Productos!Q15+('Insumos y gastos'!$K$15*Productos!N15),IF(AND(O15="SI",P15='Insumos y gastos'!$L$6),Q15+('Insumos y gastos'!$M$15*N15*2),IF(AND(O15="NO",P15='Insumos y gastos'!$L$6),Productos!Q15+('Insumos y gastos'!$M$15*Productos!N15),IF(AND(O15="SI",P15='Insumos y gastos'!$N$6),Q15+('Insumos y gastos'!$O$15*N15*2),IF(AND(O15="NO",P15='Insumos y gastos'!$N$6),Productos!Q15+('Insumos y gastos'!$O$15*Productos!N15),IF(AND(O15="SI",P15='Insumos y gastos'!$P$6),Q15+('Insumos y gastos'!$Q$15*N15*2),IF(AND(O15="NO",P15='Insumos y gastos'!$P$6),Productos!Q15+('Insumos y gastos'!$Q$15*Productos!N15),IF(AND(O15="SI",P15='Insumos y gastos'!$R$6),Q15+('Insumos y gastos'!$S$15*N15*2),IF(AND(O15="NO",P15='Insumos y gastos'!$R$6),Productos!Q15+('Insumos y gastos'!$S$15*Productos!N15),IF(AND(O15="SI",P15='Insumos y gastos'!$T$6),Q15+('Insumos y gastos'!$U$15*N15*2),IF(AND(O15="NO",P15='Insumos y gastos'!$T$6),Productos!Q15+('Insumos y gastos'!$U$15*Productos!N15),0))))))))))))</f>
        <v>0</v>
      </c>
      <c r="S15" s="79"/>
      <c r="T15" s="83">
        <f>IFERROR(VLOOKUP(S15,Tabla1[[#All],[Nombre insumo]:[Pr. Unidad]],4,0),0)</f>
        <v>0</v>
      </c>
      <c r="U15" s="11"/>
      <c r="V15" s="11"/>
      <c r="W15" s="11"/>
      <c r="X15" s="83">
        <f t="shared" si="6"/>
        <v>0</v>
      </c>
      <c r="Y15" s="83">
        <f>IF(AND(V15="SI",W15='Insumos y gastos'!$J$6),X15+('Insumos y gastos'!$K$15*U15*2),IF(AND(V15="NO",W15='Insumos y gastos'!$J$6),Productos!X15+('Insumos y gastos'!$K$15*Productos!U15),IF(AND(V15="SI",W15='Insumos y gastos'!$L$6),X15+('Insumos y gastos'!$M$15*U15*2),IF(AND(V15="NO",W15='Insumos y gastos'!$L$6),Productos!X15+('Insumos y gastos'!$M$15*Productos!U15),IF(AND(V15="SI",W15='Insumos y gastos'!$N$6),X15+('Insumos y gastos'!$O$15*U15*2),IF(AND(V15="NO",W15='Insumos y gastos'!$N$6),Productos!X15+('Insumos y gastos'!$O$15*Productos!U15),IF(AND(V15="SI",W15='Insumos y gastos'!$P$6),X15+('Insumos y gastos'!$Q$15*U15*2),IF(AND(V15="NO",W15='Insumos y gastos'!$P$6),Productos!X15+('Insumos y gastos'!$Q$15*Productos!U15),IF(AND(V15="SI",W15='Insumos y gastos'!$R$6),X15+('Insumos y gastos'!$S$15*U15*2),IF(AND(V15="NO",W15='Insumos y gastos'!$R$6),Productos!X15+('Insumos y gastos'!$S$15*Productos!U15),IF(AND(V15="SI",W15='Insumos y gastos'!$T$6),X15+('Insumos y gastos'!$U$15*U15*2),IF(AND(V15="NO",W15='Insumos y gastos'!$T$6),Productos!X15+('Insumos y gastos'!$U$15*Productos!U15),0))))))))))))</f>
        <v>0</v>
      </c>
      <c r="Z15" s="79"/>
      <c r="AA15" s="83">
        <f>IFERROR(VLOOKUP(Z15,Tabla1[[#All],[Nombre insumo]:[Pr. Unidad]],4,0),0)</f>
        <v>0</v>
      </c>
      <c r="AB15" s="11"/>
      <c r="AC15" s="11"/>
      <c r="AD15" s="11"/>
      <c r="AE15" s="83">
        <f t="shared" si="7"/>
        <v>0</v>
      </c>
      <c r="AF15" s="83">
        <f>IF(AND(AC15="SI",AD15='Insumos y gastos'!$J$6),AE15+('Insumos y gastos'!$K$15*AB15*2),IF(AND(AC15="NO",AD15='Insumos y gastos'!$J$6),Productos!AE15+('Insumos y gastos'!$K$15*Productos!AB15),IF(AND(AC15="SI",AD15='Insumos y gastos'!$L$6),AE15+('Insumos y gastos'!$M$15*AB15*2),IF(AND(AC15="NO",AD15='Insumos y gastos'!$L$6),Productos!AE15+('Insumos y gastos'!$M$15*Productos!AB15),IF(AND(AC15="SI",AD15='Insumos y gastos'!$N$6),AE15+('Insumos y gastos'!$O$15*AB15*2),IF(AND(AC15="NO",AD15='Insumos y gastos'!$N$6),Productos!AE15+('Insumos y gastos'!$O$15*Productos!AB15),IF(AND(AC15="SI",AD15='Insumos y gastos'!$P$6),AE15+('Insumos y gastos'!$Q$15*AB15*2),IF(AND(AC15="NO",AD15='Insumos y gastos'!$P$6),Productos!AE15+('Insumos y gastos'!$Q$15*Productos!AB15),IF(AND(AC15="SI",AD15='Insumos y gastos'!$R$6),AE15+('Insumos y gastos'!$S$15*AB15*2),IF(AND(AC15="NO",AD15='Insumos y gastos'!$R$6),Productos!AE15+('Insumos y gastos'!$S$15*Productos!AB15),IF(AND(AC15="SI",AD15='Insumos y gastos'!$T$6),AE15+('Insumos y gastos'!$U$15*AB15*2),IF(AND(AC15="NO",AD15='Insumos y gastos'!$T$6),Productos!AE15+('Insumos y gastos'!$U$15*Productos!AB15),0))))))))))))</f>
        <v>0</v>
      </c>
      <c r="AG15" s="79"/>
      <c r="AH15" s="83">
        <f>IFERROR(VLOOKUP(AG15,Tabla1[[#All],[Nombre insumo]:[Pr. Unidad]],4,0),0)</f>
        <v>0</v>
      </c>
      <c r="AI15" s="11"/>
      <c r="AJ15" s="11"/>
      <c r="AK15" s="11"/>
      <c r="AL15" s="83">
        <f t="shared" si="8"/>
        <v>0</v>
      </c>
      <c r="AM15" s="83">
        <f>IF(AND(AJ15="SI",AK15='Insumos y gastos'!$J$6),AL15+('Insumos y gastos'!$K$15*AI15*2),IF(AND(AJ15="NO",AK15='Insumos y gastos'!$J$6),Productos!AL15+('Insumos y gastos'!$K$15*Productos!AI15),IF(AND(AJ15="SI",AK15='Insumos y gastos'!$L$6),AL15+('Insumos y gastos'!$M$15*AI15*2),IF(AND(AJ15="NO",AK15='Insumos y gastos'!$L$6),Productos!AL15+('Insumos y gastos'!$M$15*Productos!AI15),IF(AND(AJ15="SI",AK15='Insumos y gastos'!$N$6),AL15+('Insumos y gastos'!$O$15*AI15*2),IF(AND(AJ15="NO",AK15='Insumos y gastos'!$N$6),Productos!AL15+('Insumos y gastos'!$O$15*Productos!AI15),IF(AND(AJ15="SI",AK15='Insumos y gastos'!$P$6),AL15+('Insumos y gastos'!$Q$15*AI15*2),IF(AND(AJ15="NO",AK15='Insumos y gastos'!$P$6),Productos!AL15+('Insumos y gastos'!$Q$15*Productos!AI15),IF(AND(AJ15="SI",AK15='Insumos y gastos'!$R$6),AL15+('Insumos y gastos'!$S$15*AI15*2),IF(AND(AJ15="NO",AK15='Insumos y gastos'!$R$6),Productos!AL15+('Insumos y gastos'!$S$15*Productos!AI15),IF(AND(AJ15="SI",AK15='Insumos y gastos'!$T$6),AL15+('Insumos y gastos'!$U$15*AI15*2),IF(AND(AJ15="NO",AK15='Insumos y gastos'!$T$6),Productos!AL15+('Insumos y gastos'!$U$15*Productos!AI15),0))))))))))))</f>
        <v>0</v>
      </c>
      <c r="AN15" s="79"/>
      <c r="AO15" s="84">
        <f>IFERROR(VLOOKUP(AN15,Tabla1[[#All],[Nombre insumo]:[Pr. Unidad]],4,0),0)</f>
        <v>0</v>
      </c>
      <c r="AP15" s="11"/>
      <c r="AQ15" s="84">
        <f>IF(Tabla3[[#This Row],[Costo insumo 1]]&gt;0,Tabla3[[#This Row],[Cantidad insumo 1]]*Tabla3[[#This Row],[Costo insumo 1]],0)</f>
        <v>0</v>
      </c>
      <c r="AR15" s="79"/>
      <c r="AS15" s="84">
        <f>IFERROR(VLOOKUP(AR15,Tabla1[[#All],[Nombre insumo]:[Pr. Unidad]],4,0),0)</f>
        <v>0</v>
      </c>
      <c r="AT15" s="11"/>
      <c r="AU15" s="84">
        <f>IF(Tabla3[[#This Row],[Costo insumo 2]]&gt;0,Tabla3[[#This Row],[Cantidad insumo 2]]*Tabla3[[#This Row],[Costo insumo 2]],0)</f>
        <v>0</v>
      </c>
      <c r="AV15" s="79"/>
      <c r="AW15" s="84">
        <f>IFERROR(VLOOKUP(AV15,Tabla1[[#All],[Nombre insumo]:[Pr. Unidad]],4,0),0)</f>
        <v>0</v>
      </c>
      <c r="AX15" s="11"/>
      <c r="AY15" s="84">
        <f>IF(Tabla3[[#This Row],[Costo insumo 3]]&gt;0,Tabla3[[#This Row],[Cantidad insumo 3]]*Tabla3[[#This Row],[Costo insumo 3]],0)</f>
        <v>0</v>
      </c>
      <c r="AZ15" s="79"/>
      <c r="BA15" s="84">
        <f>IFERROR(VLOOKUP(AZ15,Tabla1[[#All],[Nombre insumo]:[Pr. Unidad]],4,0),0)</f>
        <v>0</v>
      </c>
      <c r="BB15" s="11"/>
      <c r="BC15" s="85">
        <f>IF(Tabla3[[#This Row],[Costo insumo 4]]&gt;0,Tabla3[[#This Row],[Cantidad insumo 4]]*Tabla3[[#This Row],[Costo insumo 4]],0)</f>
        <v>0</v>
      </c>
      <c r="BD15" s="11"/>
      <c r="BE15" s="84">
        <f>IFERROR(VLOOKUP(BD15,Tabla1[[#All],[Nombre insumo]:[Pr. Unidad]],4,0),0)</f>
        <v>0</v>
      </c>
      <c r="BF15" s="11"/>
      <c r="BG15" s="85">
        <f>IF(Tabla3[[#This Row],[Costo insumo 5]]&gt;0,Tabla3[[#This Row],[Cantidad insumo 5]]*Tabla3[[#This Row],[Costo insumo 5]],0)</f>
        <v>0</v>
      </c>
      <c r="BH15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15" s="11"/>
      <c r="BJ15" s="87">
        <f>BI15*'Insumos y gastos'!$M$50</f>
        <v>0</v>
      </c>
      <c r="BK15" s="87">
        <f>BI15*'Insumos y gastos'!$Q$24</f>
        <v>0</v>
      </c>
      <c r="BL15" s="87">
        <f>Tabla3[[#This Row],[Costo sin servicios]]+Tabla3[[#This Row],[Costo servicios]]+Tabla3[[#This Row],[Costo mano de obra]]</f>
        <v>0</v>
      </c>
    </row>
    <row r="16" spans="1:64" ht="20.100000000000001" customHeight="1" x14ac:dyDescent="0.25">
      <c r="A16" s="11">
        <v>10014</v>
      </c>
      <c r="B16" s="95"/>
      <c r="C16" s="11"/>
      <c r="D16" s="80"/>
      <c r="E16" s="11"/>
      <c r="F16" s="83">
        <f>IFERROR(VLOOKUP(E16,Tabla1[[#All],[Nombre insumo]:[Pr. Unidad]],4,0),0)</f>
        <v>0</v>
      </c>
      <c r="G16" s="11"/>
      <c r="H16" s="11"/>
      <c r="I16" s="11"/>
      <c r="J16" s="83">
        <f t="shared" si="4"/>
        <v>0</v>
      </c>
      <c r="K16" s="81">
        <f>IF(AND(H16="SI",I16='Insumos y gastos'!$J$6),J16+('Insumos y gastos'!$K$15*G16*2),IF(AND(H16="NO",I16='Insumos y gastos'!$J$6),Productos!J16+('Insumos y gastos'!$K$15*Productos!G16),IF(AND(H16="SI",I16='Insumos y gastos'!$L$6),J16+('Insumos y gastos'!$M$15*G16*2),IF(AND(H16="NO",I16='Insumos y gastos'!$L$6),Productos!J16+('Insumos y gastos'!$M$15*Productos!G16),IF(AND(H16="SI",I16='Insumos y gastos'!$N$6),J16+('Insumos y gastos'!$O$15*G16*2),IF(AND(H16="NO",I16='Insumos y gastos'!$N$6),Productos!J16+('Insumos y gastos'!$O$15*Productos!G16),IF(AND(H16="SI",I16='Insumos y gastos'!$P$6),J16+('Insumos y gastos'!$Q$15*G16*2),IF(AND(H16="NO",I16='Insumos y gastos'!$P$6),Productos!J16+('Insumos y gastos'!$Q$15*Productos!G16),IF(AND(H16="SI",I16='Insumos y gastos'!$R$6),J16+('Insumos y gastos'!$S$15*G16*2),IF(AND(H16="NO",I16='Insumos y gastos'!$R$6),Productos!J16+('Insumos y gastos'!$S$15*Productos!G16),IF(AND(H16="SI",I16='Insumos y gastos'!$T$6),J16+('Insumos y gastos'!$U$15*G16*2),IF(AND(H16="NO",I16='Insumos y gastos'!$T$6),Productos!J16+('Insumos y gastos'!$U$15*Productos!G16),0))))))))))))</f>
        <v>0</v>
      </c>
      <c r="L16" s="11"/>
      <c r="M16" s="83">
        <f>IFERROR(VLOOKUP(L16,Tabla1[[#All],[Nombre insumo]:[Pr. Unidad]],4,0),0)</f>
        <v>0</v>
      </c>
      <c r="N16" s="11"/>
      <c r="O16" s="11"/>
      <c r="P16" s="11"/>
      <c r="Q16" s="83">
        <f t="shared" si="5"/>
        <v>0</v>
      </c>
      <c r="R16" s="83">
        <f>IF(AND(O16="SI",P16='Insumos y gastos'!$J$6),Q16+('Insumos y gastos'!$K$15*N16*2),IF(AND(O16="NO",P16='Insumos y gastos'!$J$6),Productos!Q16+('Insumos y gastos'!$K$15*Productos!N16),IF(AND(O16="SI",P16='Insumos y gastos'!$L$6),Q16+('Insumos y gastos'!$M$15*N16*2),IF(AND(O16="NO",P16='Insumos y gastos'!$L$6),Productos!Q16+('Insumos y gastos'!$M$15*Productos!N16),IF(AND(O16="SI",P16='Insumos y gastos'!$N$6),Q16+('Insumos y gastos'!$O$15*N16*2),IF(AND(O16="NO",P16='Insumos y gastos'!$N$6),Productos!Q16+('Insumos y gastos'!$O$15*Productos!N16),IF(AND(O16="SI",P16='Insumos y gastos'!$P$6),Q16+('Insumos y gastos'!$Q$15*N16*2),IF(AND(O16="NO",P16='Insumos y gastos'!$P$6),Productos!Q16+('Insumos y gastos'!$Q$15*Productos!N16),IF(AND(O16="SI",P16='Insumos y gastos'!$R$6),Q16+('Insumos y gastos'!$S$15*N16*2),IF(AND(O16="NO",P16='Insumos y gastos'!$R$6),Productos!Q16+('Insumos y gastos'!$S$15*Productos!N16),IF(AND(O16="SI",P16='Insumos y gastos'!$T$6),Q16+('Insumos y gastos'!$U$15*N16*2),IF(AND(O16="NO",P16='Insumos y gastos'!$T$6),Productos!Q16+('Insumos y gastos'!$U$15*Productos!N16),0))))))))))))</f>
        <v>0</v>
      </c>
      <c r="S16" s="79"/>
      <c r="T16" s="83">
        <f>IFERROR(VLOOKUP(S16,Tabla1[[#All],[Nombre insumo]:[Pr. Unidad]],4,0),0)</f>
        <v>0</v>
      </c>
      <c r="U16" s="11"/>
      <c r="V16" s="11"/>
      <c r="W16" s="11"/>
      <c r="X16" s="83">
        <f t="shared" si="6"/>
        <v>0</v>
      </c>
      <c r="Y16" s="83">
        <f>IF(AND(V16="SI",W16='Insumos y gastos'!$J$6),X16+('Insumos y gastos'!$K$15*U16*2),IF(AND(V16="NO",W16='Insumos y gastos'!$J$6),Productos!X16+('Insumos y gastos'!$K$15*Productos!U16),IF(AND(V16="SI",W16='Insumos y gastos'!$L$6),X16+('Insumos y gastos'!$M$15*U16*2),IF(AND(V16="NO",W16='Insumos y gastos'!$L$6),Productos!X16+('Insumos y gastos'!$M$15*Productos!U16),IF(AND(V16="SI",W16='Insumos y gastos'!$N$6),X16+('Insumos y gastos'!$O$15*U16*2),IF(AND(V16="NO",W16='Insumos y gastos'!$N$6),Productos!X16+('Insumos y gastos'!$O$15*Productos!U16),IF(AND(V16="SI",W16='Insumos y gastos'!$P$6),X16+('Insumos y gastos'!$Q$15*U16*2),IF(AND(V16="NO",W16='Insumos y gastos'!$P$6),Productos!X16+('Insumos y gastos'!$Q$15*Productos!U16),IF(AND(V16="SI",W16='Insumos y gastos'!$R$6),X16+('Insumos y gastos'!$S$15*U16*2),IF(AND(V16="NO",W16='Insumos y gastos'!$R$6),Productos!X16+('Insumos y gastos'!$S$15*Productos!U16),IF(AND(V16="SI",W16='Insumos y gastos'!$T$6),X16+('Insumos y gastos'!$U$15*U16*2),IF(AND(V16="NO",W16='Insumos y gastos'!$T$6),Productos!X16+('Insumos y gastos'!$U$15*Productos!U16),0))))))))))))</f>
        <v>0</v>
      </c>
      <c r="Z16" s="79"/>
      <c r="AA16" s="83">
        <f>IFERROR(VLOOKUP(Z16,Tabla1[[#All],[Nombre insumo]:[Pr. Unidad]],4,0),0)</f>
        <v>0</v>
      </c>
      <c r="AB16" s="11"/>
      <c r="AC16" s="11"/>
      <c r="AD16" s="11"/>
      <c r="AE16" s="83">
        <f t="shared" si="7"/>
        <v>0</v>
      </c>
      <c r="AF16" s="83">
        <f>IF(AND(AC16="SI",AD16='Insumos y gastos'!$J$6),AE16+('Insumos y gastos'!$K$15*AB16*2),IF(AND(AC16="NO",AD16='Insumos y gastos'!$J$6),Productos!AE16+('Insumos y gastos'!$K$15*Productos!AB16),IF(AND(AC16="SI",AD16='Insumos y gastos'!$L$6),AE16+('Insumos y gastos'!$M$15*AB16*2),IF(AND(AC16="NO",AD16='Insumos y gastos'!$L$6),Productos!AE16+('Insumos y gastos'!$M$15*Productos!AB16),IF(AND(AC16="SI",AD16='Insumos y gastos'!$N$6),AE16+('Insumos y gastos'!$O$15*AB16*2),IF(AND(AC16="NO",AD16='Insumos y gastos'!$N$6),Productos!AE16+('Insumos y gastos'!$O$15*Productos!AB16),IF(AND(AC16="SI",AD16='Insumos y gastos'!$P$6),AE16+('Insumos y gastos'!$Q$15*AB16*2),IF(AND(AC16="NO",AD16='Insumos y gastos'!$P$6),Productos!AE16+('Insumos y gastos'!$Q$15*Productos!AB16),IF(AND(AC16="SI",AD16='Insumos y gastos'!$R$6),AE16+('Insumos y gastos'!$S$15*AB16*2),IF(AND(AC16="NO",AD16='Insumos y gastos'!$R$6),Productos!AE16+('Insumos y gastos'!$S$15*Productos!AB16),IF(AND(AC16="SI",AD16='Insumos y gastos'!$T$6),AE16+('Insumos y gastos'!$U$15*AB16*2),IF(AND(AC16="NO",AD16='Insumos y gastos'!$T$6),Productos!AE16+('Insumos y gastos'!$U$15*Productos!AB16),0))))))))))))</f>
        <v>0</v>
      </c>
      <c r="AG16" s="79"/>
      <c r="AH16" s="83">
        <f>IFERROR(VLOOKUP(AG16,Tabla1[[#All],[Nombre insumo]:[Pr. Unidad]],4,0),0)</f>
        <v>0</v>
      </c>
      <c r="AI16" s="11"/>
      <c r="AJ16" s="11"/>
      <c r="AK16" s="11"/>
      <c r="AL16" s="83">
        <f t="shared" si="8"/>
        <v>0</v>
      </c>
      <c r="AM16" s="83">
        <f>IF(AND(AJ16="SI",AK16='Insumos y gastos'!$J$6),AL16+('Insumos y gastos'!$K$15*AI16*2),IF(AND(AJ16="NO",AK16='Insumos y gastos'!$J$6),Productos!AL16+('Insumos y gastos'!$K$15*Productos!AI16),IF(AND(AJ16="SI",AK16='Insumos y gastos'!$L$6),AL16+('Insumos y gastos'!$M$15*AI16*2),IF(AND(AJ16="NO",AK16='Insumos y gastos'!$L$6),Productos!AL16+('Insumos y gastos'!$M$15*Productos!AI16),IF(AND(AJ16="SI",AK16='Insumos y gastos'!$N$6),AL16+('Insumos y gastos'!$O$15*AI16*2),IF(AND(AJ16="NO",AK16='Insumos y gastos'!$N$6),Productos!AL16+('Insumos y gastos'!$O$15*Productos!AI16),IF(AND(AJ16="SI",AK16='Insumos y gastos'!$P$6),AL16+('Insumos y gastos'!$Q$15*AI16*2),IF(AND(AJ16="NO",AK16='Insumos y gastos'!$P$6),Productos!AL16+('Insumos y gastos'!$Q$15*Productos!AI16),IF(AND(AJ16="SI",AK16='Insumos y gastos'!$R$6),AL16+('Insumos y gastos'!$S$15*AI16*2),IF(AND(AJ16="NO",AK16='Insumos y gastos'!$R$6),Productos!AL16+('Insumos y gastos'!$S$15*Productos!AI16),IF(AND(AJ16="SI",AK16='Insumos y gastos'!$T$6),AL16+('Insumos y gastos'!$U$15*AI16*2),IF(AND(AJ16="NO",AK16='Insumos y gastos'!$T$6),Productos!AL16+('Insumos y gastos'!$U$15*Productos!AI16),0))))))))))))</f>
        <v>0</v>
      </c>
      <c r="AN16" s="79"/>
      <c r="AO16" s="84">
        <f>IFERROR(VLOOKUP(AN16,Tabla1[[#All],[Nombre insumo]:[Pr. Unidad]],4,0),0)</f>
        <v>0</v>
      </c>
      <c r="AP16" s="11"/>
      <c r="AQ16" s="84">
        <f>IF(Tabla3[[#This Row],[Costo insumo 1]]&gt;0,Tabla3[[#This Row],[Cantidad insumo 1]]*Tabla3[[#This Row],[Costo insumo 1]],0)</f>
        <v>0</v>
      </c>
      <c r="AR16" s="79"/>
      <c r="AS16" s="84">
        <f>IFERROR(VLOOKUP(AR16,Tabla1[[#All],[Nombre insumo]:[Pr. Unidad]],4,0),0)</f>
        <v>0</v>
      </c>
      <c r="AT16" s="11"/>
      <c r="AU16" s="84">
        <f>IF(Tabla3[[#This Row],[Costo insumo 2]]&gt;0,Tabla3[[#This Row],[Cantidad insumo 2]]*Tabla3[[#This Row],[Costo insumo 2]],0)</f>
        <v>0</v>
      </c>
      <c r="AV16" s="79"/>
      <c r="AW16" s="84">
        <f>IFERROR(VLOOKUP(AV16,Tabla1[[#All],[Nombre insumo]:[Pr. Unidad]],4,0),0)</f>
        <v>0</v>
      </c>
      <c r="AX16" s="11"/>
      <c r="AY16" s="84">
        <f>IF(Tabla3[[#This Row],[Costo insumo 3]]&gt;0,Tabla3[[#This Row],[Cantidad insumo 3]]*Tabla3[[#This Row],[Costo insumo 3]],0)</f>
        <v>0</v>
      </c>
      <c r="AZ16" s="79"/>
      <c r="BA16" s="84">
        <f>IFERROR(VLOOKUP(AZ16,Tabla1[[#All],[Nombre insumo]:[Pr. Unidad]],4,0),0)</f>
        <v>0</v>
      </c>
      <c r="BB16" s="11"/>
      <c r="BC16" s="85">
        <f>IF(Tabla3[[#This Row],[Costo insumo 4]]&gt;0,Tabla3[[#This Row],[Cantidad insumo 4]]*Tabla3[[#This Row],[Costo insumo 4]],0)</f>
        <v>0</v>
      </c>
      <c r="BD16" s="11"/>
      <c r="BE16" s="84">
        <f>IFERROR(VLOOKUP(BD16,Tabla1[[#All],[Nombre insumo]:[Pr. Unidad]],4,0),0)</f>
        <v>0</v>
      </c>
      <c r="BF16" s="11"/>
      <c r="BG16" s="85">
        <f>IF(Tabla3[[#This Row],[Costo insumo 5]]&gt;0,Tabla3[[#This Row],[Cantidad insumo 5]]*Tabla3[[#This Row],[Costo insumo 5]],0)</f>
        <v>0</v>
      </c>
      <c r="BH16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16" s="11"/>
      <c r="BJ16" s="87">
        <f>BI16*'Insumos y gastos'!$M$50</f>
        <v>0</v>
      </c>
      <c r="BK16" s="87">
        <f>BI16*'Insumos y gastos'!$Q$24</f>
        <v>0</v>
      </c>
      <c r="BL16" s="87">
        <f>Tabla3[[#This Row],[Costo sin servicios]]+Tabla3[[#This Row],[Costo servicios]]+Tabla3[[#This Row],[Costo mano de obra]]</f>
        <v>0</v>
      </c>
    </row>
    <row r="17" spans="1:64" ht="20.100000000000001" customHeight="1" x14ac:dyDescent="0.25">
      <c r="A17" s="11">
        <v>10015</v>
      </c>
      <c r="B17" s="95"/>
      <c r="C17" s="11"/>
      <c r="D17" s="80"/>
      <c r="E17" s="11"/>
      <c r="F17" s="83">
        <f>IFERROR(VLOOKUP(E17,Tabla1[[#All],[Nombre insumo]:[Pr. Unidad]],4,0),0)</f>
        <v>0</v>
      </c>
      <c r="G17" s="11"/>
      <c r="H17" s="11"/>
      <c r="I17" s="11"/>
      <c r="J17" s="83">
        <f t="shared" si="4"/>
        <v>0</v>
      </c>
      <c r="K17" s="81">
        <f>IF(AND(H17="SI",I17='Insumos y gastos'!$J$6),J17+('Insumos y gastos'!$K$15*G17*2),IF(AND(H17="NO",I17='Insumos y gastos'!$J$6),Productos!J17+('Insumos y gastos'!$K$15*Productos!G17),IF(AND(H17="SI",I17='Insumos y gastos'!$L$6),J17+('Insumos y gastos'!$M$15*G17*2),IF(AND(H17="NO",I17='Insumos y gastos'!$L$6),Productos!J17+('Insumos y gastos'!$M$15*Productos!G17),IF(AND(H17="SI",I17='Insumos y gastos'!$N$6),J17+('Insumos y gastos'!$O$15*G17*2),IF(AND(H17="NO",I17='Insumos y gastos'!$N$6),Productos!J17+('Insumos y gastos'!$O$15*Productos!G17),IF(AND(H17="SI",I17='Insumos y gastos'!$P$6),J17+('Insumos y gastos'!$Q$15*G17*2),IF(AND(H17="NO",I17='Insumos y gastos'!$P$6),Productos!J17+('Insumos y gastos'!$Q$15*Productos!G17),IF(AND(H17="SI",I17='Insumos y gastos'!$R$6),J17+('Insumos y gastos'!$S$15*G17*2),IF(AND(H17="NO",I17='Insumos y gastos'!$R$6),Productos!J17+('Insumos y gastos'!$S$15*Productos!G17),IF(AND(H17="SI",I17='Insumos y gastos'!$T$6),J17+('Insumos y gastos'!$U$15*G17*2),IF(AND(H17="NO",I17='Insumos y gastos'!$T$6),Productos!J17+('Insumos y gastos'!$U$15*Productos!G17),0))))))))))))</f>
        <v>0</v>
      </c>
      <c r="L17" s="11"/>
      <c r="M17" s="83">
        <f>IFERROR(VLOOKUP(L17,Tabla1[[#All],[Nombre insumo]:[Pr. Unidad]],4,0),0)</f>
        <v>0</v>
      </c>
      <c r="N17" s="11"/>
      <c r="O17" s="11"/>
      <c r="P17" s="11"/>
      <c r="Q17" s="83">
        <f t="shared" si="5"/>
        <v>0</v>
      </c>
      <c r="R17" s="83">
        <f>IF(AND(O17="SI",P17='Insumos y gastos'!$J$6),Q17+('Insumos y gastos'!$K$15*N17*2),IF(AND(O17="NO",P17='Insumos y gastos'!$J$6),Productos!Q17+('Insumos y gastos'!$K$15*Productos!N17),IF(AND(O17="SI",P17='Insumos y gastos'!$L$6),Q17+('Insumos y gastos'!$M$15*N17*2),IF(AND(O17="NO",P17='Insumos y gastos'!$L$6),Productos!Q17+('Insumos y gastos'!$M$15*Productos!N17),IF(AND(O17="SI",P17='Insumos y gastos'!$N$6),Q17+('Insumos y gastos'!$O$15*N17*2),IF(AND(O17="NO",P17='Insumos y gastos'!$N$6),Productos!Q17+('Insumos y gastos'!$O$15*Productos!N17),IF(AND(O17="SI",P17='Insumos y gastos'!$P$6),Q17+('Insumos y gastos'!$Q$15*N17*2),IF(AND(O17="NO",P17='Insumos y gastos'!$P$6),Productos!Q17+('Insumos y gastos'!$Q$15*Productos!N17),IF(AND(O17="SI",P17='Insumos y gastos'!$R$6),Q17+('Insumos y gastos'!$S$15*N17*2),IF(AND(O17="NO",P17='Insumos y gastos'!$R$6),Productos!Q17+('Insumos y gastos'!$S$15*Productos!N17),IF(AND(O17="SI",P17='Insumos y gastos'!$T$6),Q17+('Insumos y gastos'!$U$15*N17*2),IF(AND(O17="NO",P17='Insumos y gastos'!$T$6),Productos!Q17+('Insumos y gastos'!$U$15*Productos!N17),0))))))))))))</f>
        <v>0</v>
      </c>
      <c r="S17" s="79"/>
      <c r="T17" s="83">
        <f>IFERROR(VLOOKUP(S17,Tabla1[[#All],[Nombre insumo]:[Pr. Unidad]],4,0),0)</f>
        <v>0</v>
      </c>
      <c r="U17" s="11"/>
      <c r="V17" s="11"/>
      <c r="W17" s="11"/>
      <c r="X17" s="83">
        <f t="shared" si="6"/>
        <v>0</v>
      </c>
      <c r="Y17" s="83">
        <f>IF(AND(V17="SI",W17='Insumos y gastos'!$J$6),X17+('Insumos y gastos'!$K$15*U17*2),IF(AND(V17="NO",W17='Insumos y gastos'!$J$6),Productos!X17+('Insumos y gastos'!$K$15*Productos!U17),IF(AND(V17="SI",W17='Insumos y gastos'!$L$6),X17+('Insumos y gastos'!$M$15*U17*2),IF(AND(V17="NO",W17='Insumos y gastos'!$L$6),Productos!X17+('Insumos y gastos'!$M$15*Productos!U17),IF(AND(V17="SI",W17='Insumos y gastos'!$N$6),X17+('Insumos y gastos'!$O$15*U17*2),IF(AND(V17="NO",W17='Insumos y gastos'!$N$6),Productos!X17+('Insumos y gastos'!$O$15*Productos!U17),IF(AND(V17="SI",W17='Insumos y gastos'!$P$6),X17+('Insumos y gastos'!$Q$15*U17*2),IF(AND(V17="NO",W17='Insumos y gastos'!$P$6),Productos!X17+('Insumos y gastos'!$Q$15*Productos!U17),IF(AND(V17="SI",W17='Insumos y gastos'!$R$6),X17+('Insumos y gastos'!$S$15*U17*2),IF(AND(V17="NO",W17='Insumos y gastos'!$R$6),Productos!X17+('Insumos y gastos'!$S$15*Productos!U17),IF(AND(V17="SI",W17='Insumos y gastos'!$T$6),X17+('Insumos y gastos'!$U$15*U17*2),IF(AND(V17="NO",W17='Insumos y gastos'!$T$6),Productos!X17+('Insumos y gastos'!$U$15*Productos!U17),0))))))))))))</f>
        <v>0</v>
      </c>
      <c r="Z17" s="79"/>
      <c r="AA17" s="83">
        <f>IFERROR(VLOOKUP(Z17,Tabla1[[#All],[Nombre insumo]:[Pr. Unidad]],4,0),0)</f>
        <v>0</v>
      </c>
      <c r="AB17" s="11"/>
      <c r="AC17" s="11"/>
      <c r="AD17" s="11"/>
      <c r="AE17" s="83">
        <f t="shared" si="7"/>
        <v>0</v>
      </c>
      <c r="AF17" s="83">
        <f>IF(AND(AC17="SI",AD17='Insumos y gastos'!$J$6),AE17+('Insumos y gastos'!$K$15*AB17*2),IF(AND(AC17="NO",AD17='Insumos y gastos'!$J$6),Productos!AE17+('Insumos y gastos'!$K$15*Productos!AB17),IF(AND(AC17="SI",AD17='Insumos y gastos'!$L$6),AE17+('Insumos y gastos'!$M$15*AB17*2),IF(AND(AC17="NO",AD17='Insumos y gastos'!$L$6),Productos!AE17+('Insumos y gastos'!$M$15*Productos!AB17),IF(AND(AC17="SI",AD17='Insumos y gastos'!$N$6),AE17+('Insumos y gastos'!$O$15*AB17*2),IF(AND(AC17="NO",AD17='Insumos y gastos'!$N$6),Productos!AE17+('Insumos y gastos'!$O$15*Productos!AB17),IF(AND(AC17="SI",AD17='Insumos y gastos'!$P$6),AE17+('Insumos y gastos'!$Q$15*AB17*2),IF(AND(AC17="NO",AD17='Insumos y gastos'!$P$6),Productos!AE17+('Insumos y gastos'!$Q$15*Productos!AB17),IF(AND(AC17="SI",AD17='Insumos y gastos'!$R$6),AE17+('Insumos y gastos'!$S$15*AB17*2),IF(AND(AC17="NO",AD17='Insumos y gastos'!$R$6),Productos!AE17+('Insumos y gastos'!$S$15*Productos!AB17),IF(AND(AC17="SI",AD17='Insumos y gastos'!$T$6),AE17+('Insumos y gastos'!$U$15*AB17*2),IF(AND(AC17="NO",AD17='Insumos y gastos'!$T$6),Productos!AE17+('Insumos y gastos'!$U$15*Productos!AB17),0))))))))))))</f>
        <v>0</v>
      </c>
      <c r="AG17" s="79"/>
      <c r="AH17" s="83">
        <f>IFERROR(VLOOKUP(AG17,Tabla1[[#All],[Nombre insumo]:[Pr. Unidad]],4,0),0)</f>
        <v>0</v>
      </c>
      <c r="AI17" s="11"/>
      <c r="AJ17" s="11"/>
      <c r="AK17" s="11"/>
      <c r="AL17" s="83">
        <f t="shared" si="8"/>
        <v>0</v>
      </c>
      <c r="AM17" s="83">
        <f>IF(AND(AJ17="SI",AK17='Insumos y gastos'!$J$6),AL17+('Insumos y gastos'!$K$15*AI17*2),IF(AND(AJ17="NO",AK17='Insumos y gastos'!$J$6),Productos!AL17+('Insumos y gastos'!$K$15*Productos!AI17),IF(AND(AJ17="SI",AK17='Insumos y gastos'!$L$6),AL17+('Insumos y gastos'!$M$15*AI17*2),IF(AND(AJ17="NO",AK17='Insumos y gastos'!$L$6),Productos!AL17+('Insumos y gastos'!$M$15*Productos!AI17),IF(AND(AJ17="SI",AK17='Insumos y gastos'!$N$6),AL17+('Insumos y gastos'!$O$15*AI17*2),IF(AND(AJ17="NO",AK17='Insumos y gastos'!$N$6),Productos!AL17+('Insumos y gastos'!$O$15*Productos!AI17),IF(AND(AJ17="SI",AK17='Insumos y gastos'!$P$6),AL17+('Insumos y gastos'!$Q$15*AI17*2),IF(AND(AJ17="NO",AK17='Insumos y gastos'!$P$6),Productos!AL17+('Insumos y gastos'!$Q$15*Productos!AI17),IF(AND(AJ17="SI",AK17='Insumos y gastos'!$R$6),AL17+('Insumos y gastos'!$S$15*AI17*2),IF(AND(AJ17="NO",AK17='Insumos y gastos'!$R$6),Productos!AL17+('Insumos y gastos'!$S$15*Productos!AI17),IF(AND(AJ17="SI",AK17='Insumos y gastos'!$T$6),AL17+('Insumos y gastos'!$U$15*AI17*2),IF(AND(AJ17="NO",AK17='Insumos y gastos'!$T$6),Productos!AL17+('Insumos y gastos'!$U$15*Productos!AI17),0))))))))))))</f>
        <v>0</v>
      </c>
      <c r="AN17" s="79"/>
      <c r="AO17" s="84">
        <f>IFERROR(VLOOKUP(AN17,Tabla1[[#All],[Nombre insumo]:[Pr. Unidad]],4,0),0)</f>
        <v>0</v>
      </c>
      <c r="AP17" s="11"/>
      <c r="AQ17" s="84">
        <f>IF(Tabla3[[#This Row],[Costo insumo 1]]&gt;0,Tabla3[[#This Row],[Cantidad insumo 1]]*Tabla3[[#This Row],[Costo insumo 1]],0)</f>
        <v>0</v>
      </c>
      <c r="AR17" s="79"/>
      <c r="AS17" s="84">
        <f>IFERROR(VLOOKUP(AR17,Tabla1[[#All],[Nombre insumo]:[Pr. Unidad]],4,0),0)</f>
        <v>0</v>
      </c>
      <c r="AT17" s="11"/>
      <c r="AU17" s="84">
        <f>IF(Tabla3[[#This Row],[Costo insumo 2]]&gt;0,Tabla3[[#This Row],[Cantidad insumo 2]]*Tabla3[[#This Row],[Costo insumo 2]],0)</f>
        <v>0</v>
      </c>
      <c r="AV17" s="79"/>
      <c r="AW17" s="84">
        <f>IFERROR(VLOOKUP(AV17,Tabla1[[#All],[Nombre insumo]:[Pr. Unidad]],4,0),0)</f>
        <v>0</v>
      </c>
      <c r="AX17" s="11"/>
      <c r="AY17" s="84">
        <f>IF(Tabla3[[#This Row],[Costo insumo 3]]&gt;0,Tabla3[[#This Row],[Cantidad insumo 3]]*Tabla3[[#This Row],[Costo insumo 3]],0)</f>
        <v>0</v>
      </c>
      <c r="AZ17" s="79"/>
      <c r="BA17" s="84">
        <f>IFERROR(VLOOKUP(AZ17,Tabla1[[#All],[Nombre insumo]:[Pr. Unidad]],4,0),0)</f>
        <v>0</v>
      </c>
      <c r="BB17" s="11"/>
      <c r="BC17" s="85">
        <f>IF(Tabla3[[#This Row],[Costo insumo 4]]&gt;0,Tabla3[[#This Row],[Cantidad insumo 4]]*Tabla3[[#This Row],[Costo insumo 4]],0)</f>
        <v>0</v>
      </c>
      <c r="BD17" s="11"/>
      <c r="BE17" s="84">
        <f>IFERROR(VLOOKUP(BD17,Tabla1[[#All],[Nombre insumo]:[Pr. Unidad]],4,0),0)</f>
        <v>0</v>
      </c>
      <c r="BF17" s="11"/>
      <c r="BG17" s="85">
        <f>IF(Tabla3[[#This Row],[Costo insumo 5]]&gt;0,Tabla3[[#This Row],[Cantidad insumo 5]]*Tabla3[[#This Row],[Costo insumo 5]],0)</f>
        <v>0</v>
      </c>
      <c r="BH17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17" s="11"/>
      <c r="BJ17" s="87">
        <f>BI17*'Insumos y gastos'!$M$50</f>
        <v>0</v>
      </c>
      <c r="BK17" s="87">
        <f>BI17*'Insumos y gastos'!$Q$24</f>
        <v>0</v>
      </c>
      <c r="BL17" s="87">
        <f>Tabla3[[#This Row],[Costo sin servicios]]+Tabla3[[#This Row],[Costo servicios]]+Tabla3[[#This Row],[Costo mano de obra]]</f>
        <v>0</v>
      </c>
    </row>
    <row r="18" spans="1:64" ht="20.100000000000001" customHeight="1" x14ac:dyDescent="0.25">
      <c r="A18" s="11">
        <v>10016</v>
      </c>
      <c r="B18" s="95"/>
      <c r="C18" s="11"/>
      <c r="D18" s="80"/>
      <c r="E18" s="11"/>
      <c r="F18" s="83">
        <f>IFERROR(VLOOKUP(E18,Tabla1[[#All],[Nombre insumo]:[Pr. Unidad]],4,0),0)</f>
        <v>0</v>
      </c>
      <c r="G18" s="11"/>
      <c r="H18" s="11"/>
      <c r="I18" s="11"/>
      <c r="J18" s="83">
        <f t="shared" si="4"/>
        <v>0</v>
      </c>
      <c r="K18" s="81">
        <f>IF(AND(H18="SI",I18='Insumos y gastos'!$J$6),J18+('Insumos y gastos'!$K$15*G18*2),IF(AND(H18="NO",I18='Insumos y gastos'!$J$6),Productos!J18+('Insumos y gastos'!$K$15*Productos!G18),IF(AND(H18="SI",I18='Insumos y gastos'!$L$6),J18+('Insumos y gastos'!$M$15*G18*2),IF(AND(H18="NO",I18='Insumos y gastos'!$L$6),Productos!J18+('Insumos y gastos'!$M$15*Productos!G18),IF(AND(H18="SI",I18='Insumos y gastos'!$N$6),J18+('Insumos y gastos'!$O$15*G18*2),IF(AND(H18="NO",I18='Insumos y gastos'!$N$6),Productos!J18+('Insumos y gastos'!$O$15*Productos!G18),IF(AND(H18="SI",I18='Insumos y gastos'!$P$6),J18+('Insumos y gastos'!$Q$15*G18*2),IF(AND(H18="NO",I18='Insumos y gastos'!$P$6),Productos!J18+('Insumos y gastos'!$Q$15*Productos!G18),IF(AND(H18="SI",I18='Insumos y gastos'!$R$6),J18+('Insumos y gastos'!$S$15*G18*2),IF(AND(H18="NO",I18='Insumos y gastos'!$R$6),Productos!J18+('Insumos y gastos'!$S$15*Productos!G18),IF(AND(H18="SI",I18='Insumos y gastos'!$T$6),J18+('Insumos y gastos'!$U$15*G18*2),IF(AND(H18="NO",I18='Insumos y gastos'!$T$6),Productos!J18+('Insumos y gastos'!$U$15*Productos!G18),0))))))))))))</f>
        <v>0</v>
      </c>
      <c r="L18" s="11"/>
      <c r="M18" s="83">
        <f>IFERROR(VLOOKUP(L18,Tabla1[[#All],[Nombre insumo]:[Pr. Unidad]],4,0),0)</f>
        <v>0</v>
      </c>
      <c r="N18" s="11"/>
      <c r="O18" s="11"/>
      <c r="P18" s="11"/>
      <c r="Q18" s="83">
        <f t="shared" si="5"/>
        <v>0</v>
      </c>
      <c r="R18" s="83">
        <f>IF(AND(O18="SI",P18='Insumos y gastos'!$J$6),Q18+('Insumos y gastos'!$K$15*N18*2),IF(AND(O18="NO",P18='Insumos y gastos'!$J$6),Productos!Q18+('Insumos y gastos'!$K$15*Productos!N18),IF(AND(O18="SI",P18='Insumos y gastos'!$L$6),Q18+('Insumos y gastos'!$M$15*N18*2),IF(AND(O18="NO",P18='Insumos y gastos'!$L$6),Productos!Q18+('Insumos y gastos'!$M$15*Productos!N18),IF(AND(O18="SI",P18='Insumos y gastos'!$N$6),Q18+('Insumos y gastos'!$O$15*N18*2),IF(AND(O18="NO",P18='Insumos y gastos'!$N$6),Productos!Q18+('Insumos y gastos'!$O$15*Productos!N18),IF(AND(O18="SI",P18='Insumos y gastos'!$P$6),Q18+('Insumos y gastos'!$Q$15*N18*2),IF(AND(O18="NO",P18='Insumos y gastos'!$P$6),Productos!Q18+('Insumos y gastos'!$Q$15*Productos!N18),IF(AND(O18="SI",P18='Insumos y gastos'!$R$6),Q18+('Insumos y gastos'!$S$15*N18*2),IF(AND(O18="NO",P18='Insumos y gastos'!$R$6),Productos!Q18+('Insumos y gastos'!$S$15*Productos!N18),IF(AND(O18="SI",P18='Insumos y gastos'!$T$6),Q18+('Insumos y gastos'!$U$15*N18*2),IF(AND(O18="NO",P18='Insumos y gastos'!$T$6),Productos!Q18+('Insumos y gastos'!$U$15*Productos!N18),0))))))))))))</f>
        <v>0</v>
      </c>
      <c r="S18" s="79"/>
      <c r="T18" s="83">
        <f>IFERROR(VLOOKUP(S18,Tabla1[[#All],[Nombre insumo]:[Pr. Unidad]],4,0),0)</f>
        <v>0</v>
      </c>
      <c r="U18" s="11"/>
      <c r="V18" s="11"/>
      <c r="W18" s="11"/>
      <c r="X18" s="83">
        <f t="shared" si="6"/>
        <v>0</v>
      </c>
      <c r="Y18" s="83">
        <f>IF(AND(V18="SI",W18='Insumos y gastos'!$J$6),X18+('Insumos y gastos'!$K$15*U18*2),IF(AND(V18="NO",W18='Insumos y gastos'!$J$6),Productos!X18+('Insumos y gastos'!$K$15*Productos!U18),IF(AND(V18="SI",W18='Insumos y gastos'!$L$6),X18+('Insumos y gastos'!$M$15*U18*2),IF(AND(V18="NO",W18='Insumos y gastos'!$L$6),Productos!X18+('Insumos y gastos'!$M$15*Productos!U18),IF(AND(V18="SI",W18='Insumos y gastos'!$N$6),X18+('Insumos y gastos'!$O$15*U18*2),IF(AND(V18="NO",W18='Insumos y gastos'!$N$6),Productos!X18+('Insumos y gastos'!$O$15*Productos!U18),IF(AND(V18="SI",W18='Insumos y gastos'!$P$6),X18+('Insumos y gastos'!$Q$15*U18*2),IF(AND(V18="NO",W18='Insumos y gastos'!$P$6),Productos!X18+('Insumos y gastos'!$Q$15*Productos!U18),IF(AND(V18="SI",W18='Insumos y gastos'!$R$6),X18+('Insumos y gastos'!$S$15*U18*2),IF(AND(V18="NO",W18='Insumos y gastos'!$R$6),Productos!X18+('Insumos y gastos'!$S$15*Productos!U18),IF(AND(V18="SI",W18='Insumos y gastos'!$T$6),X18+('Insumos y gastos'!$U$15*U18*2),IF(AND(V18="NO",W18='Insumos y gastos'!$T$6),Productos!X18+('Insumos y gastos'!$U$15*Productos!U18),0))))))))))))</f>
        <v>0</v>
      </c>
      <c r="Z18" s="79"/>
      <c r="AA18" s="83">
        <f>IFERROR(VLOOKUP(Z18,Tabla1[[#All],[Nombre insumo]:[Pr. Unidad]],4,0),0)</f>
        <v>0</v>
      </c>
      <c r="AB18" s="11"/>
      <c r="AC18" s="11"/>
      <c r="AD18" s="11"/>
      <c r="AE18" s="83">
        <f t="shared" si="7"/>
        <v>0</v>
      </c>
      <c r="AF18" s="83">
        <f>IF(AND(AC18="SI",AD18='Insumos y gastos'!$J$6),AE18+('Insumos y gastos'!$K$15*AB18*2),IF(AND(AC18="NO",AD18='Insumos y gastos'!$J$6),Productos!AE18+('Insumos y gastos'!$K$15*Productos!AB18),IF(AND(AC18="SI",AD18='Insumos y gastos'!$L$6),AE18+('Insumos y gastos'!$M$15*AB18*2),IF(AND(AC18="NO",AD18='Insumos y gastos'!$L$6),Productos!AE18+('Insumos y gastos'!$M$15*Productos!AB18),IF(AND(AC18="SI",AD18='Insumos y gastos'!$N$6),AE18+('Insumos y gastos'!$O$15*AB18*2),IF(AND(AC18="NO",AD18='Insumos y gastos'!$N$6),Productos!AE18+('Insumos y gastos'!$O$15*Productos!AB18),IF(AND(AC18="SI",AD18='Insumos y gastos'!$P$6),AE18+('Insumos y gastos'!$Q$15*AB18*2),IF(AND(AC18="NO",AD18='Insumos y gastos'!$P$6),Productos!AE18+('Insumos y gastos'!$Q$15*Productos!AB18),IF(AND(AC18="SI",AD18='Insumos y gastos'!$R$6),AE18+('Insumos y gastos'!$S$15*AB18*2),IF(AND(AC18="NO",AD18='Insumos y gastos'!$R$6),Productos!AE18+('Insumos y gastos'!$S$15*Productos!AB18),IF(AND(AC18="SI",AD18='Insumos y gastos'!$T$6),AE18+('Insumos y gastos'!$U$15*AB18*2),IF(AND(AC18="NO",AD18='Insumos y gastos'!$T$6),Productos!AE18+('Insumos y gastos'!$U$15*Productos!AB18),0))))))))))))</f>
        <v>0</v>
      </c>
      <c r="AG18" s="79"/>
      <c r="AH18" s="83">
        <f>IFERROR(VLOOKUP(AG18,Tabla1[[#All],[Nombre insumo]:[Pr. Unidad]],4,0),0)</f>
        <v>0</v>
      </c>
      <c r="AI18" s="11"/>
      <c r="AJ18" s="11"/>
      <c r="AK18" s="11"/>
      <c r="AL18" s="83">
        <f t="shared" si="8"/>
        <v>0</v>
      </c>
      <c r="AM18" s="83">
        <f>IF(AND(AJ18="SI",AK18='Insumos y gastos'!$J$6),AL18+('Insumos y gastos'!$K$15*AI18*2),IF(AND(AJ18="NO",AK18='Insumos y gastos'!$J$6),Productos!AL18+('Insumos y gastos'!$K$15*Productos!AI18),IF(AND(AJ18="SI",AK18='Insumos y gastos'!$L$6),AL18+('Insumos y gastos'!$M$15*AI18*2),IF(AND(AJ18="NO",AK18='Insumos y gastos'!$L$6),Productos!AL18+('Insumos y gastos'!$M$15*Productos!AI18),IF(AND(AJ18="SI",AK18='Insumos y gastos'!$N$6),AL18+('Insumos y gastos'!$O$15*AI18*2),IF(AND(AJ18="NO",AK18='Insumos y gastos'!$N$6),Productos!AL18+('Insumos y gastos'!$O$15*Productos!AI18),IF(AND(AJ18="SI",AK18='Insumos y gastos'!$P$6),AL18+('Insumos y gastos'!$Q$15*AI18*2),IF(AND(AJ18="NO",AK18='Insumos y gastos'!$P$6),Productos!AL18+('Insumos y gastos'!$Q$15*Productos!AI18),IF(AND(AJ18="SI",AK18='Insumos y gastos'!$R$6),AL18+('Insumos y gastos'!$S$15*AI18*2),IF(AND(AJ18="NO",AK18='Insumos y gastos'!$R$6),Productos!AL18+('Insumos y gastos'!$S$15*Productos!AI18),IF(AND(AJ18="SI",AK18='Insumos y gastos'!$T$6),AL18+('Insumos y gastos'!$U$15*AI18*2),IF(AND(AJ18="NO",AK18='Insumos y gastos'!$T$6),Productos!AL18+('Insumos y gastos'!$U$15*Productos!AI18),0))))))))))))</f>
        <v>0</v>
      </c>
      <c r="AN18" s="79"/>
      <c r="AO18" s="84">
        <f>IFERROR(VLOOKUP(AN18,Tabla1[[#All],[Nombre insumo]:[Pr. Unidad]],4,0),0)</f>
        <v>0</v>
      </c>
      <c r="AP18" s="11"/>
      <c r="AQ18" s="84">
        <f>IF(Tabla3[[#This Row],[Costo insumo 1]]&gt;0,Tabla3[[#This Row],[Cantidad insumo 1]]*Tabla3[[#This Row],[Costo insumo 1]],0)</f>
        <v>0</v>
      </c>
      <c r="AR18" s="79"/>
      <c r="AS18" s="84">
        <f>IFERROR(VLOOKUP(AR18,Tabla1[[#All],[Nombre insumo]:[Pr. Unidad]],4,0),0)</f>
        <v>0</v>
      </c>
      <c r="AT18" s="11"/>
      <c r="AU18" s="84">
        <f>IF(Tabla3[[#This Row],[Costo insumo 2]]&gt;0,Tabla3[[#This Row],[Cantidad insumo 2]]*Tabla3[[#This Row],[Costo insumo 2]],0)</f>
        <v>0</v>
      </c>
      <c r="AV18" s="79"/>
      <c r="AW18" s="84">
        <f>IFERROR(VLOOKUP(AV18,Tabla1[[#All],[Nombre insumo]:[Pr. Unidad]],4,0),0)</f>
        <v>0</v>
      </c>
      <c r="AX18" s="11"/>
      <c r="AY18" s="84">
        <f>IF(Tabla3[[#This Row],[Costo insumo 3]]&gt;0,Tabla3[[#This Row],[Cantidad insumo 3]]*Tabla3[[#This Row],[Costo insumo 3]],0)</f>
        <v>0</v>
      </c>
      <c r="AZ18" s="79"/>
      <c r="BA18" s="84">
        <f>IFERROR(VLOOKUP(AZ18,Tabla1[[#All],[Nombre insumo]:[Pr. Unidad]],4,0),0)</f>
        <v>0</v>
      </c>
      <c r="BB18" s="11"/>
      <c r="BC18" s="85">
        <f>IF(Tabla3[[#This Row],[Costo insumo 4]]&gt;0,Tabla3[[#This Row],[Cantidad insumo 4]]*Tabla3[[#This Row],[Costo insumo 4]],0)</f>
        <v>0</v>
      </c>
      <c r="BD18" s="11"/>
      <c r="BE18" s="84">
        <f>IFERROR(VLOOKUP(BD18,Tabla1[[#All],[Nombre insumo]:[Pr. Unidad]],4,0),0)</f>
        <v>0</v>
      </c>
      <c r="BF18" s="11"/>
      <c r="BG18" s="85">
        <f>IF(Tabla3[[#This Row],[Costo insumo 5]]&gt;0,Tabla3[[#This Row],[Cantidad insumo 5]]*Tabla3[[#This Row],[Costo insumo 5]],0)</f>
        <v>0</v>
      </c>
      <c r="BH18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18" s="11"/>
      <c r="BJ18" s="87">
        <f>BI18*'Insumos y gastos'!$M$50</f>
        <v>0</v>
      </c>
      <c r="BK18" s="87">
        <f>BI18*'Insumos y gastos'!$Q$24</f>
        <v>0</v>
      </c>
      <c r="BL18" s="87">
        <f>Tabla3[[#This Row],[Costo sin servicios]]+Tabla3[[#This Row],[Costo servicios]]+Tabla3[[#This Row],[Costo mano de obra]]</f>
        <v>0</v>
      </c>
    </row>
    <row r="19" spans="1:64" ht="20.100000000000001" customHeight="1" x14ac:dyDescent="0.25">
      <c r="A19" s="11">
        <v>10017</v>
      </c>
      <c r="B19" s="95"/>
      <c r="C19" s="11"/>
      <c r="D19" s="80"/>
      <c r="E19" s="11"/>
      <c r="F19" s="83">
        <f>IFERROR(VLOOKUP(E19,Tabla1[[#All],[Nombre insumo]:[Pr. Unidad]],4,0),0)</f>
        <v>0</v>
      </c>
      <c r="G19" s="11"/>
      <c r="H19" s="11"/>
      <c r="I19" s="11"/>
      <c r="J19" s="83">
        <f t="shared" si="4"/>
        <v>0</v>
      </c>
      <c r="K19" s="81">
        <f>IF(AND(H19="SI",I19='Insumos y gastos'!$J$6),J19+('Insumos y gastos'!$K$15*G19*2),IF(AND(H19="NO",I19='Insumos y gastos'!$J$6),Productos!J19+('Insumos y gastos'!$K$15*Productos!G19),IF(AND(H19="SI",I19='Insumos y gastos'!$L$6),J19+('Insumos y gastos'!$M$15*G19*2),IF(AND(H19="NO",I19='Insumos y gastos'!$L$6),Productos!J19+('Insumos y gastos'!$M$15*Productos!G19),IF(AND(H19="SI",I19='Insumos y gastos'!$N$6),J19+('Insumos y gastos'!$O$15*G19*2),IF(AND(H19="NO",I19='Insumos y gastos'!$N$6),Productos!J19+('Insumos y gastos'!$O$15*Productos!G19),IF(AND(H19="SI",I19='Insumos y gastos'!$P$6),J19+('Insumos y gastos'!$Q$15*G19*2),IF(AND(H19="NO",I19='Insumos y gastos'!$P$6),Productos!J19+('Insumos y gastos'!$Q$15*Productos!G19),IF(AND(H19="SI",I19='Insumos y gastos'!$R$6),J19+('Insumos y gastos'!$S$15*G19*2),IF(AND(H19="NO",I19='Insumos y gastos'!$R$6),Productos!J19+('Insumos y gastos'!$S$15*Productos!G19),IF(AND(H19="SI",I19='Insumos y gastos'!$T$6),J19+('Insumos y gastos'!$U$15*G19*2),IF(AND(H19="NO",I19='Insumos y gastos'!$T$6),Productos!J19+('Insumos y gastos'!$U$15*Productos!G19),0))))))))))))</f>
        <v>0</v>
      </c>
      <c r="L19" s="11"/>
      <c r="M19" s="83">
        <f>IFERROR(VLOOKUP(L19,Tabla1[[#All],[Nombre insumo]:[Pr. Unidad]],4,0),0)</f>
        <v>0</v>
      </c>
      <c r="N19" s="11"/>
      <c r="O19" s="11"/>
      <c r="P19" s="11"/>
      <c r="Q19" s="83">
        <f t="shared" si="5"/>
        <v>0</v>
      </c>
      <c r="R19" s="83">
        <f>IF(AND(O19="SI",P19='Insumos y gastos'!$J$6),Q19+('Insumos y gastos'!$K$15*N19*2),IF(AND(O19="NO",P19='Insumos y gastos'!$J$6),Productos!Q19+('Insumos y gastos'!$K$15*Productos!N19),IF(AND(O19="SI",P19='Insumos y gastos'!$L$6),Q19+('Insumos y gastos'!$M$15*N19*2),IF(AND(O19="NO",P19='Insumos y gastos'!$L$6),Productos!Q19+('Insumos y gastos'!$M$15*Productos!N19),IF(AND(O19="SI",P19='Insumos y gastos'!$N$6),Q19+('Insumos y gastos'!$O$15*N19*2),IF(AND(O19="NO",P19='Insumos y gastos'!$N$6),Productos!Q19+('Insumos y gastos'!$O$15*Productos!N19),IF(AND(O19="SI",P19='Insumos y gastos'!$P$6),Q19+('Insumos y gastos'!$Q$15*N19*2),IF(AND(O19="NO",P19='Insumos y gastos'!$P$6),Productos!Q19+('Insumos y gastos'!$Q$15*Productos!N19),IF(AND(O19="SI",P19='Insumos y gastos'!$R$6),Q19+('Insumos y gastos'!$S$15*N19*2),IF(AND(O19="NO",P19='Insumos y gastos'!$R$6),Productos!Q19+('Insumos y gastos'!$S$15*Productos!N19),IF(AND(O19="SI",P19='Insumos y gastos'!$T$6),Q19+('Insumos y gastos'!$U$15*N19*2),IF(AND(O19="NO",P19='Insumos y gastos'!$T$6),Productos!Q19+('Insumos y gastos'!$U$15*Productos!N19),0))))))))))))</f>
        <v>0</v>
      </c>
      <c r="S19" s="79"/>
      <c r="T19" s="83">
        <f>IFERROR(VLOOKUP(S19,Tabla1[[#All],[Nombre insumo]:[Pr. Unidad]],4,0),0)</f>
        <v>0</v>
      </c>
      <c r="U19" s="11"/>
      <c r="V19" s="11"/>
      <c r="W19" s="11"/>
      <c r="X19" s="83">
        <f t="shared" si="6"/>
        <v>0</v>
      </c>
      <c r="Y19" s="83">
        <f>IF(AND(V19="SI",W19='Insumos y gastos'!$J$6),X19+('Insumos y gastos'!$K$15*U19*2),IF(AND(V19="NO",W19='Insumos y gastos'!$J$6),Productos!X19+('Insumos y gastos'!$K$15*Productos!U19),IF(AND(V19="SI",W19='Insumos y gastos'!$L$6),X19+('Insumos y gastos'!$M$15*U19*2),IF(AND(V19="NO",W19='Insumos y gastos'!$L$6),Productos!X19+('Insumos y gastos'!$M$15*Productos!U19),IF(AND(V19="SI",W19='Insumos y gastos'!$N$6),X19+('Insumos y gastos'!$O$15*U19*2),IF(AND(V19="NO",W19='Insumos y gastos'!$N$6),Productos!X19+('Insumos y gastos'!$O$15*Productos!U19),IF(AND(V19="SI",W19='Insumos y gastos'!$P$6),X19+('Insumos y gastos'!$Q$15*U19*2),IF(AND(V19="NO",W19='Insumos y gastos'!$P$6),Productos!X19+('Insumos y gastos'!$Q$15*Productos!U19),IF(AND(V19="SI",W19='Insumos y gastos'!$R$6),X19+('Insumos y gastos'!$S$15*U19*2),IF(AND(V19="NO",W19='Insumos y gastos'!$R$6),Productos!X19+('Insumos y gastos'!$S$15*Productos!U19),IF(AND(V19="SI",W19='Insumos y gastos'!$T$6),X19+('Insumos y gastos'!$U$15*U19*2),IF(AND(V19="NO",W19='Insumos y gastos'!$T$6),Productos!X19+('Insumos y gastos'!$U$15*Productos!U19),0))))))))))))</f>
        <v>0</v>
      </c>
      <c r="Z19" s="79"/>
      <c r="AA19" s="83">
        <f>IFERROR(VLOOKUP(Z19,Tabla1[[#All],[Nombre insumo]:[Pr. Unidad]],4,0),0)</f>
        <v>0</v>
      </c>
      <c r="AB19" s="11"/>
      <c r="AC19" s="11"/>
      <c r="AD19" s="11"/>
      <c r="AE19" s="83">
        <f t="shared" si="7"/>
        <v>0</v>
      </c>
      <c r="AF19" s="83">
        <f>IF(AND(AC19="SI",AD19='Insumos y gastos'!$J$6),AE19+('Insumos y gastos'!$K$15*AB19*2),IF(AND(AC19="NO",AD19='Insumos y gastos'!$J$6),Productos!AE19+('Insumos y gastos'!$K$15*Productos!AB19),IF(AND(AC19="SI",AD19='Insumos y gastos'!$L$6),AE19+('Insumos y gastos'!$M$15*AB19*2),IF(AND(AC19="NO",AD19='Insumos y gastos'!$L$6),Productos!AE19+('Insumos y gastos'!$M$15*Productos!AB19),IF(AND(AC19="SI",AD19='Insumos y gastos'!$N$6),AE19+('Insumos y gastos'!$O$15*AB19*2),IF(AND(AC19="NO",AD19='Insumos y gastos'!$N$6),Productos!AE19+('Insumos y gastos'!$O$15*Productos!AB19),IF(AND(AC19="SI",AD19='Insumos y gastos'!$P$6),AE19+('Insumos y gastos'!$Q$15*AB19*2),IF(AND(AC19="NO",AD19='Insumos y gastos'!$P$6),Productos!AE19+('Insumos y gastos'!$Q$15*Productos!AB19),IF(AND(AC19="SI",AD19='Insumos y gastos'!$R$6),AE19+('Insumos y gastos'!$S$15*AB19*2),IF(AND(AC19="NO",AD19='Insumos y gastos'!$R$6),Productos!AE19+('Insumos y gastos'!$S$15*Productos!AB19),IF(AND(AC19="SI",AD19='Insumos y gastos'!$T$6),AE19+('Insumos y gastos'!$U$15*AB19*2),IF(AND(AC19="NO",AD19='Insumos y gastos'!$T$6),Productos!AE19+('Insumos y gastos'!$U$15*Productos!AB19),0))))))))))))</f>
        <v>0</v>
      </c>
      <c r="AG19" s="79"/>
      <c r="AH19" s="83">
        <f>IFERROR(VLOOKUP(AG19,Tabla1[[#All],[Nombre insumo]:[Pr. Unidad]],4,0),0)</f>
        <v>0</v>
      </c>
      <c r="AI19" s="11"/>
      <c r="AJ19" s="11"/>
      <c r="AK19" s="11"/>
      <c r="AL19" s="83">
        <f t="shared" si="8"/>
        <v>0</v>
      </c>
      <c r="AM19" s="83">
        <f>IF(AND(AJ19="SI",AK19='Insumos y gastos'!$J$6),AL19+('Insumos y gastos'!$K$15*AI19*2),IF(AND(AJ19="NO",AK19='Insumos y gastos'!$J$6),Productos!AL19+('Insumos y gastos'!$K$15*Productos!AI19),IF(AND(AJ19="SI",AK19='Insumos y gastos'!$L$6),AL19+('Insumos y gastos'!$M$15*AI19*2),IF(AND(AJ19="NO",AK19='Insumos y gastos'!$L$6),Productos!AL19+('Insumos y gastos'!$M$15*Productos!AI19),IF(AND(AJ19="SI",AK19='Insumos y gastos'!$N$6),AL19+('Insumos y gastos'!$O$15*AI19*2),IF(AND(AJ19="NO",AK19='Insumos y gastos'!$N$6),Productos!AL19+('Insumos y gastos'!$O$15*Productos!AI19),IF(AND(AJ19="SI",AK19='Insumos y gastos'!$P$6),AL19+('Insumos y gastos'!$Q$15*AI19*2),IF(AND(AJ19="NO",AK19='Insumos y gastos'!$P$6),Productos!AL19+('Insumos y gastos'!$Q$15*Productos!AI19),IF(AND(AJ19="SI",AK19='Insumos y gastos'!$R$6),AL19+('Insumos y gastos'!$S$15*AI19*2),IF(AND(AJ19="NO",AK19='Insumos y gastos'!$R$6),Productos!AL19+('Insumos y gastos'!$S$15*Productos!AI19),IF(AND(AJ19="SI",AK19='Insumos y gastos'!$T$6),AL19+('Insumos y gastos'!$U$15*AI19*2),IF(AND(AJ19="NO",AK19='Insumos y gastos'!$T$6),Productos!AL19+('Insumos y gastos'!$U$15*Productos!AI19),0))))))))))))</f>
        <v>0</v>
      </c>
      <c r="AN19" s="79"/>
      <c r="AO19" s="84">
        <f>IFERROR(VLOOKUP(AN19,Tabla1[[#All],[Nombre insumo]:[Pr. Unidad]],4,0),0)</f>
        <v>0</v>
      </c>
      <c r="AP19" s="11"/>
      <c r="AQ19" s="84">
        <f>IF(Tabla3[[#This Row],[Costo insumo 1]]&gt;0,Tabla3[[#This Row],[Cantidad insumo 1]]*Tabla3[[#This Row],[Costo insumo 1]],0)</f>
        <v>0</v>
      </c>
      <c r="AR19" s="79"/>
      <c r="AS19" s="84">
        <f>IFERROR(VLOOKUP(AR19,Tabla1[[#All],[Nombre insumo]:[Pr. Unidad]],4,0),0)</f>
        <v>0</v>
      </c>
      <c r="AT19" s="11"/>
      <c r="AU19" s="84">
        <f>IF(Tabla3[[#This Row],[Costo insumo 2]]&gt;0,Tabla3[[#This Row],[Cantidad insumo 2]]*Tabla3[[#This Row],[Costo insumo 2]],0)</f>
        <v>0</v>
      </c>
      <c r="AV19" s="79"/>
      <c r="AW19" s="84">
        <f>IFERROR(VLOOKUP(AV19,Tabla1[[#All],[Nombre insumo]:[Pr. Unidad]],4,0),0)</f>
        <v>0</v>
      </c>
      <c r="AX19" s="11"/>
      <c r="AY19" s="84">
        <f>IF(Tabla3[[#This Row],[Costo insumo 3]]&gt;0,Tabla3[[#This Row],[Cantidad insumo 3]]*Tabla3[[#This Row],[Costo insumo 3]],0)</f>
        <v>0</v>
      </c>
      <c r="AZ19" s="79"/>
      <c r="BA19" s="84">
        <f>IFERROR(VLOOKUP(AZ19,Tabla1[[#All],[Nombre insumo]:[Pr. Unidad]],4,0),0)</f>
        <v>0</v>
      </c>
      <c r="BB19" s="11"/>
      <c r="BC19" s="85">
        <f>IF(Tabla3[[#This Row],[Costo insumo 4]]&gt;0,Tabla3[[#This Row],[Cantidad insumo 4]]*Tabla3[[#This Row],[Costo insumo 4]],0)</f>
        <v>0</v>
      </c>
      <c r="BD19" s="11"/>
      <c r="BE19" s="84">
        <f>IFERROR(VLOOKUP(BD19,Tabla1[[#All],[Nombre insumo]:[Pr. Unidad]],4,0),0)</f>
        <v>0</v>
      </c>
      <c r="BF19" s="11"/>
      <c r="BG19" s="85">
        <f>IF(Tabla3[[#This Row],[Costo insumo 5]]&gt;0,Tabla3[[#This Row],[Cantidad insumo 5]]*Tabla3[[#This Row],[Costo insumo 5]],0)</f>
        <v>0</v>
      </c>
      <c r="BH19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19" s="11"/>
      <c r="BJ19" s="87">
        <f>BI19*'Insumos y gastos'!$M$50</f>
        <v>0</v>
      </c>
      <c r="BK19" s="87">
        <f>BI19*'Insumos y gastos'!$Q$24</f>
        <v>0</v>
      </c>
      <c r="BL19" s="87">
        <f>Tabla3[[#This Row],[Costo sin servicios]]+Tabla3[[#This Row],[Costo servicios]]+Tabla3[[#This Row],[Costo mano de obra]]</f>
        <v>0</v>
      </c>
    </row>
    <row r="20" spans="1:64" ht="20.100000000000001" customHeight="1" x14ac:dyDescent="0.25">
      <c r="A20" s="11">
        <v>10018</v>
      </c>
      <c r="B20" s="95"/>
      <c r="C20" s="11"/>
      <c r="D20" s="80"/>
      <c r="E20" s="11"/>
      <c r="F20" s="83">
        <f>IFERROR(VLOOKUP(E20,Tabla1[[#All],[Nombre insumo]:[Pr. Unidad]],4,0),0)</f>
        <v>0</v>
      </c>
      <c r="G20" s="11"/>
      <c r="H20" s="11"/>
      <c r="I20" s="11"/>
      <c r="J20" s="83">
        <f t="shared" si="4"/>
        <v>0</v>
      </c>
      <c r="K20" s="81">
        <f>IF(AND(H20="SI",I20='Insumos y gastos'!$J$6),J20+('Insumos y gastos'!$K$15*G20*2),IF(AND(H20="NO",I20='Insumos y gastos'!$J$6),Productos!J20+('Insumos y gastos'!$K$15*Productos!G20),IF(AND(H20="SI",I20='Insumos y gastos'!$L$6),J20+('Insumos y gastos'!$M$15*G20*2),IF(AND(H20="NO",I20='Insumos y gastos'!$L$6),Productos!J20+('Insumos y gastos'!$M$15*Productos!G20),IF(AND(H20="SI",I20='Insumos y gastos'!$N$6),J20+('Insumos y gastos'!$O$15*G20*2),IF(AND(H20="NO",I20='Insumos y gastos'!$N$6),Productos!J20+('Insumos y gastos'!$O$15*Productos!G20),IF(AND(H20="SI",I20='Insumos y gastos'!$P$6),J20+('Insumos y gastos'!$Q$15*G20*2),IF(AND(H20="NO",I20='Insumos y gastos'!$P$6),Productos!J20+('Insumos y gastos'!$Q$15*Productos!G20),IF(AND(H20="SI",I20='Insumos y gastos'!$R$6),J20+('Insumos y gastos'!$S$15*G20*2),IF(AND(H20="NO",I20='Insumos y gastos'!$R$6),Productos!J20+('Insumos y gastos'!$S$15*Productos!G20),IF(AND(H20="SI",I20='Insumos y gastos'!$T$6),J20+('Insumos y gastos'!$U$15*G20*2),IF(AND(H20="NO",I20='Insumos y gastos'!$T$6),Productos!J20+('Insumos y gastos'!$U$15*Productos!G20),0))))))))))))</f>
        <v>0</v>
      </c>
      <c r="L20" s="11"/>
      <c r="M20" s="83">
        <f>IFERROR(VLOOKUP(L20,Tabla1[[#All],[Nombre insumo]:[Pr. Unidad]],4,0),0)</f>
        <v>0</v>
      </c>
      <c r="N20" s="11"/>
      <c r="O20" s="11"/>
      <c r="P20" s="11"/>
      <c r="Q20" s="83">
        <f t="shared" si="5"/>
        <v>0</v>
      </c>
      <c r="R20" s="83">
        <f>IF(AND(O20="SI",P20='Insumos y gastos'!$J$6),Q20+('Insumos y gastos'!$K$15*N20*2),IF(AND(O20="NO",P20='Insumos y gastos'!$J$6),Productos!Q20+('Insumos y gastos'!$K$15*Productos!N20),IF(AND(O20="SI",P20='Insumos y gastos'!$L$6),Q20+('Insumos y gastos'!$M$15*N20*2),IF(AND(O20="NO",P20='Insumos y gastos'!$L$6),Productos!Q20+('Insumos y gastos'!$M$15*Productos!N20),IF(AND(O20="SI",P20='Insumos y gastos'!$N$6),Q20+('Insumos y gastos'!$O$15*N20*2),IF(AND(O20="NO",P20='Insumos y gastos'!$N$6),Productos!Q20+('Insumos y gastos'!$O$15*Productos!N20),IF(AND(O20="SI",P20='Insumos y gastos'!$P$6),Q20+('Insumos y gastos'!$Q$15*N20*2),IF(AND(O20="NO",P20='Insumos y gastos'!$P$6),Productos!Q20+('Insumos y gastos'!$Q$15*Productos!N20),IF(AND(O20="SI",P20='Insumos y gastos'!$R$6),Q20+('Insumos y gastos'!$S$15*N20*2),IF(AND(O20="NO",P20='Insumos y gastos'!$R$6),Productos!Q20+('Insumos y gastos'!$S$15*Productos!N20),IF(AND(O20="SI",P20='Insumos y gastos'!$T$6),Q20+('Insumos y gastos'!$U$15*N20*2),IF(AND(O20="NO",P20='Insumos y gastos'!$T$6),Productos!Q20+('Insumos y gastos'!$U$15*Productos!N20),0))))))))))))</f>
        <v>0</v>
      </c>
      <c r="S20" s="79"/>
      <c r="T20" s="83">
        <f>IFERROR(VLOOKUP(S20,Tabla1[[#All],[Nombre insumo]:[Pr. Unidad]],4,0),0)</f>
        <v>0</v>
      </c>
      <c r="U20" s="11"/>
      <c r="V20" s="11"/>
      <c r="W20" s="11"/>
      <c r="X20" s="83">
        <f t="shared" si="6"/>
        <v>0</v>
      </c>
      <c r="Y20" s="83">
        <f>IF(AND(V20="SI",W20='Insumos y gastos'!$J$6),X20+('Insumos y gastos'!$K$15*U20*2),IF(AND(V20="NO",W20='Insumos y gastos'!$J$6),Productos!X20+('Insumos y gastos'!$K$15*Productos!U20),IF(AND(V20="SI",W20='Insumos y gastos'!$L$6),X20+('Insumos y gastos'!$M$15*U20*2),IF(AND(V20="NO",W20='Insumos y gastos'!$L$6),Productos!X20+('Insumos y gastos'!$M$15*Productos!U20),IF(AND(V20="SI",W20='Insumos y gastos'!$N$6),X20+('Insumos y gastos'!$O$15*U20*2),IF(AND(V20="NO",W20='Insumos y gastos'!$N$6),Productos!X20+('Insumos y gastos'!$O$15*Productos!U20),IF(AND(V20="SI",W20='Insumos y gastos'!$P$6),X20+('Insumos y gastos'!$Q$15*U20*2),IF(AND(V20="NO",W20='Insumos y gastos'!$P$6),Productos!X20+('Insumos y gastos'!$Q$15*Productos!U20),IF(AND(V20="SI",W20='Insumos y gastos'!$R$6),X20+('Insumos y gastos'!$S$15*U20*2),IF(AND(V20="NO",W20='Insumos y gastos'!$R$6),Productos!X20+('Insumos y gastos'!$S$15*Productos!U20),IF(AND(V20="SI",W20='Insumos y gastos'!$T$6),X20+('Insumos y gastos'!$U$15*U20*2),IF(AND(V20="NO",W20='Insumos y gastos'!$T$6),Productos!X20+('Insumos y gastos'!$U$15*Productos!U20),0))))))))))))</f>
        <v>0</v>
      </c>
      <c r="Z20" s="79"/>
      <c r="AA20" s="83">
        <f>IFERROR(VLOOKUP(Z20,Tabla1[[#All],[Nombre insumo]:[Pr. Unidad]],4,0),0)</f>
        <v>0</v>
      </c>
      <c r="AB20" s="11"/>
      <c r="AC20" s="11"/>
      <c r="AD20" s="11"/>
      <c r="AE20" s="83">
        <f t="shared" si="7"/>
        <v>0</v>
      </c>
      <c r="AF20" s="83">
        <f>IF(AND(AC20="SI",AD20='Insumos y gastos'!$J$6),AE20+('Insumos y gastos'!$K$15*AB20*2),IF(AND(AC20="NO",AD20='Insumos y gastos'!$J$6),Productos!AE20+('Insumos y gastos'!$K$15*Productos!AB20),IF(AND(AC20="SI",AD20='Insumos y gastos'!$L$6),AE20+('Insumos y gastos'!$M$15*AB20*2),IF(AND(AC20="NO",AD20='Insumos y gastos'!$L$6),Productos!AE20+('Insumos y gastos'!$M$15*Productos!AB20),IF(AND(AC20="SI",AD20='Insumos y gastos'!$N$6),AE20+('Insumos y gastos'!$O$15*AB20*2),IF(AND(AC20="NO",AD20='Insumos y gastos'!$N$6),Productos!AE20+('Insumos y gastos'!$O$15*Productos!AB20),IF(AND(AC20="SI",AD20='Insumos y gastos'!$P$6),AE20+('Insumos y gastos'!$Q$15*AB20*2),IF(AND(AC20="NO",AD20='Insumos y gastos'!$P$6),Productos!AE20+('Insumos y gastos'!$Q$15*Productos!AB20),IF(AND(AC20="SI",AD20='Insumos y gastos'!$R$6),AE20+('Insumos y gastos'!$S$15*AB20*2),IF(AND(AC20="NO",AD20='Insumos y gastos'!$R$6),Productos!AE20+('Insumos y gastos'!$S$15*Productos!AB20),IF(AND(AC20="SI",AD20='Insumos y gastos'!$T$6),AE20+('Insumos y gastos'!$U$15*AB20*2),IF(AND(AC20="NO",AD20='Insumos y gastos'!$T$6),Productos!AE20+('Insumos y gastos'!$U$15*Productos!AB20),0))))))))))))</f>
        <v>0</v>
      </c>
      <c r="AG20" s="79"/>
      <c r="AH20" s="83">
        <f>IFERROR(VLOOKUP(AG20,Tabla1[[#All],[Nombre insumo]:[Pr. Unidad]],4,0),0)</f>
        <v>0</v>
      </c>
      <c r="AI20" s="11"/>
      <c r="AJ20" s="11"/>
      <c r="AK20" s="11"/>
      <c r="AL20" s="83">
        <f t="shared" si="8"/>
        <v>0</v>
      </c>
      <c r="AM20" s="83">
        <f>IF(AND(AJ20="SI",AK20='Insumos y gastos'!$J$6),AL20+('Insumos y gastos'!$K$15*AI20*2),IF(AND(AJ20="NO",AK20='Insumos y gastos'!$J$6),Productos!AL20+('Insumos y gastos'!$K$15*Productos!AI20),IF(AND(AJ20="SI",AK20='Insumos y gastos'!$L$6),AL20+('Insumos y gastos'!$M$15*AI20*2),IF(AND(AJ20="NO",AK20='Insumos y gastos'!$L$6),Productos!AL20+('Insumos y gastos'!$M$15*Productos!AI20),IF(AND(AJ20="SI",AK20='Insumos y gastos'!$N$6),AL20+('Insumos y gastos'!$O$15*AI20*2),IF(AND(AJ20="NO",AK20='Insumos y gastos'!$N$6),Productos!AL20+('Insumos y gastos'!$O$15*Productos!AI20),IF(AND(AJ20="SI",AK20='Insumos y gastos'!$P$6),AL20+('Insumos y gastos'!$Q$15*AI20*2),IF(AND(AJ20="NO",AK20='Insumos y gastos'!$P$6),Productos!AL20+('Insumos y gastos'!$Q$15*Productos!AI20),IF(AND(AJ20="SI",AK20='Insumos y gastos'!$R$6),AL20+('Insumos y gastos'!$S$15*AI20*2),IF(AND(AJ20="NO",AK20='Insumos y gastos'!$R$6),Productos!AL20+('Insumos y gastos'!$S$15*Productos!AI20),IF(AND(AJ20="SI",AK20='Insumos y gastos'!$T$6),AL20+('Insumos y gastos'!$U$15*AI20*2),IF(AND(AJ20="NO",AK20='Insumos y gastos'!$T$6),Productos!AL20+('Insumos y gastos'!$U$15*Productos!AI20),0))))))))))))</f>
        <v>0</v>
      </c>
      <c r="AN20" s="79"/>
      <c r="AO20" s="84">
        <f>IFERROR(VLOOKUP(AN20,Tabla1[[#All],[Nombre insumo]:[Pr. Unidad]],4,0),0)</f>
        <v>0</v>
      </c>
      <c r="AP20" s="11"/>
      <c r="AQ20" s="84">
        <f>IF(Tabla3[[#This Row],[Costo insumo 1]]&gt;0,Tabla3[[#This Row],[Cantidad insumo 1]]*Tabla3[[#This Row],[Costo insumo 1]],0)</f>
        <v>0</v>
      </c>
      <c r="AR20" s="79"/>
      <c r="AS20" s="84">
        <f>IFERROR(VLOOKUP(AR20,Tabla1[[#All],[Nombre insumo]:[Pr. Unidad]],4,0),0)</f>
        <v>0</v>
      </c>
      <c r="AT20" s="11"/>
      <c r="AU20" s="84">
        <f>IF(Tabla3[[#This Row],[Costo insumo 2]]&gt;0,Tabla3[[#This Row],[Cantidad insumo 2]]*Tabla3[[#This Row],[Costo insumo 2]],0)</f>
        <v>0</v>
      </c>
      <c r="AV20" s="79"/>
      <c r="AW20" s="84">
        <f>IFERROR(VLOOKUP(AV20,Tabla1[[#All],[Nombre insumo]:[Pr. Unidad]],4,0),0)</f>
        <v>0</v>
      </c>
      <c r="AX20" s="11"/>
      <c r="AY20" s="84">
        <f>IF(Tabla3[[#This Row],[Costo insumo 3]]&gt;0,Tabla3[[#This Row],[Cantidad insumo 3]]*Tabla3[[#This Row],[Costo insumo 3]],0)</f>
        <v>0</v>
      </c>
      <c r="AZ20" s="79"/>
      <c r="BA20" s="84">
        <f>IFERROR(VLOOKUP(AZ20,Tabla1[[#All],[Nombre insumo]:[Pr. Unidad]],4,0),0)</f>
        <v>0</v>
      </c>
      <c r="BB20" s="11"/>
      <c r="BC20" s="85">
        <f>IF(Tabla3[[#This Row],[Costo insumo 4]]&gt;0,Tabla3[[#This Row],[Cantidad insumo 4]]*Tabla3[[#This Row],[Costo insumo 4]],0)</f>
        <v>0</v>
      </c>
      <c r="BD20" s="11"/>
      <c r="BE20" s="84">
        <f>IFERROR(VLOOKUP(BD20,Tabla1[[#All],[Nombre insumo]:[Pr. Unidad]],4,0),0)</f>
        <v>0</v>
      </c>
      <c r="BF20" s="11"/>
      <c r="BG20" s="85">
        <f>IF(Tabla3[[#This Row],[Costo insumo 5]]&gt;0,Tabla3[[#This Row],[Cantidad insumo 5]]*Tabla3[[#This Row],[Costo insumo 5]],0)</f>
        <v>0</v>
      </c>
      <c r="BH20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20" s="11"/>
      <c r="BJ20" s="87">
        <f>BI20*'Insumos y gastos'!$M$50</f>
        <v>0</v>
      </c>
      <c r="BK20" s="87">
        <f>BI20*'Insumos y gastos'!$Q$24</f>
        <v>0</v>
      </c>
      <c r="BL20" s="87">
        <f>Tabla3[[#This Row],[Costo sin servicios]]+Tabla3[[#This Row],[Costo servicios]]+Tabla3[[#This Row],[Costo mano de obra]]</f>
        <v>0</v>
      </c>
    </row>
    <row r="21" spans="1:64" ht="20.100000000000001" customHeight="1" x14ac:dyDescent="0.25">
      <c r="A21" s="11">
        <v>10019</v>
      </c>
      <c r="B21" s="95"/>
      <c r="C21" s="11"/>
      <c r="D21" s="80"/>
      <c r="E21" s="11"/>
      <c r="F21" s="83">
        <f>IFERROR(VLOOKUP(E21,Tabla1[[#All],[Nombre insumo]:[Pr. Unidad]],4,0),0)</f>
        <v>0</v>
      </c>
      <c r="G21" s="11"/>
      <c r="H21" s="11"/>
      <c r="I21" s="11"/>
      <c r="J21" s="83">
        <f t="shared" si="4"/>
        <v>0</v>
      </c>
      <c r="K21" s="81">
        <f>IF(AND(H21="SI",I21='Insumos y gastos'!$J$6),J21+('Insumos y gastos'!$K$15*G21*2),IF(AND(H21="NO",I21='Insumos y gastos'!$J$6),Productos!J21+('Insumos y gastos'!$K$15*Productos!G21),IF(AND(H21="SI",I21='Insumos y gastos'!$L$6),J21+('Insumos y gastos'!$M$15*G21*2),IF(AND(H21="NO",I21='Insumos y gastos'!$L$6),Productos!J21+('Insumos y gastos'!$M$15*Productos!G21),IF(AND(H21="SI",I21='Insumos y gastos'!$N$6),J21+('Insumos y gastos'!$O$15*G21*2),IF(AND(H21="NO",I21='Insumos y gastos'!$N$6),Productos!J21+('Insumos y gastos'!$O$15*Productos!G21),IF(AND(H21="SI",I21='Insumos y gastos'!$P$6),J21+('Insumos y gastos'!$Q$15*G21*2),IF(AND(H21="NO",I21='Insumos y gastos'!$P$6),Productos!J21+('Insumos y gastos'!$Q$15*Productos!G21),IF(AND(H21="SI",I21='Insumos y gastos'!$R$6),J21+('Insumos y gastos'!$S$15*G21*2),IF(AND(H21="NO",I21='Insumos y gastos'!$R$6),Productos!J21+('Insumos y gastos'!$S$15*Productos!G21),IF(AND(H21="SI",I21='Insumos y gastos'!$T$6),J21+('Insumos y gastos'!$U$15*G21*2),IF(AND(H21="NO",I21='Insumos y gastos'!$T$6),Productos!J21+('Insumos y gastos'!$U$15*Productos!G21),0))))))))))))</f>
        <v>0</v>
      </c>
      <c r="L21" s="11"/>
      <c r="M21" s="83">
        <f>IFERROR(VLOOKUP(L21,Tabla1[[#All],[Nombre insumo]:[Pr. Unidad]],4,0),0)</f>
        <v>0</v>
      </c>
      <c r="N21" s="11"/>
      <c r="O21" s="11"/>
      <c r="P21" s="11"/>
      <c r="Q21" s="83">
        <f t="shared" si="5"/>
        <v>0</v>
      </c>
      <c r="R21" s="83">
        <f>IF(AND(O21="SI",P21='Insumos y gastos'!$J$6),Q21+('Insumos y gastos'!$K$15*N21*2),IF(AND(O21="NO",P21='Insumos y gastos'!$J$6),Productos!Q21+('Insumos y gastos'!$K$15*Productos!N21),IF(AND(O21="SI",P21='Insumos y gastos'!$L$6),Q21+('Insumos y gastos'!$M$15*N21*2),IF(AND(O21="NO",P21='Insumos y gastos'!$L$6),Productos!Q21+('Insumos y gastos'!$M$15*Productos!N21),IF(AND(O21="SI",P21='Insumos y gastos'!$N$6),Q21+('Insumos y gastos'!$O$15*N21*2),IF(AND(O21="NO",P21='Insumos y gastos'!$N$6),Productos!Q21+('Insumos y gastos'!$O$15*Productos!N21),IF(AND(O21="SI",P21='Insumos y gastos'!$P$6),Q21+('Insumos y gastos'!$Q$15*N21*2),IF(AND(O21="NO",P21='Insumos y gastos'!$P$6),Productos!Q21+('Insumos y gastos'!$Q$15*Productos!N21),IF(AND(O21="SI",P21='Insumos y gastos'!$R$6),Q21+('Insumos y gastos'!$S$15*N21*2),IF(AND(O21="NO",P21='Insumos y gastos'!$R$6),Productos!Q21+('Insumos y gastos'!$S$15*Productos!N21),IF(AND(O21="SI",P21='Insumos y gastos'!$T$6),Q21+('Insumos y gastos'!$U$15*N21*2),IF(AND(O21="NO",P21='Insumos y gastos'!$T$6),Productos!Q21+('Insumos y gastos'!$U$15*Productos!N21),0))))))))))))</f>
        <v>0</v>
      </c>
      <c r="S21" s="79"/>
      <c r="T21" s="83">
        <f>IFERROR(VLOOKUP(S21,Tabla1[[#All],[Nombre insumo]:[Pr. Unidad]],4,0),0)</f>
        <v>0</v>
      </c>
      <c r="U21" s="11"/>
      <c r="V21" s="11"/>
      <c r="W21" s="11"/>
      <c r="X21" s="83">
        <f t="shared" si="6"/>
        <v>0</v>
      </c>
      <c r="Y21" s="83">
        <f>IF(AND(V21="SI",W21='Insumos y gastos'!$J$6),X21+('Insumos y gastos'!$K$15*U21*2),IF(AND(V21="NO",W21='Insumos y gastos'!$J$6),Productos!X21+('Insumos y gastos'!$K$15*Productos!U21),IF(AND(V21="SI",W21='Insumos y gastos'!$L$6),X21+('Insumos y gastos'!$M$15*U21*2),IF(AND(V21="NO",W21='Insumos y gastos'!$L$6),Productos!X21+('Insumos y gastos'!$M$15*Productos!U21),IF(AND(V21="SI",W21='Insumos y gastos'!$N$6),X21+('Insumos y gastos'!$O$15*U21*2),IF(AND(V21="NO",W21='Insumos y gastos'!$N$6),Productos!X21+('Insumos y gastos'!$O$15*Productos!U21),IF(AND(V21="SI",W21='Insumos y gastos'!$P$6),X21+('Insumos y gastos'!$Q$15*U21*2),IF(AND(V21="NO",W21='Insumos y gastos'!$P$6),Productos!X21+('Insumos y gastos'!$Q$15*Productos!U21),IF(AND(V21="SI",W21='Insumos y gastos'!$R$6),X21+('Insumos y gastos'!$S$15*U21*2),IF(AND(V21="NO",W21='Insumos y gastos'!$R$6),Productos!X21+('Insumos y gastos'!$S$15*Productos!U21),IF(AND(V21="SI",W21='Insumos y gastos'!$T$6),X21+('Insumos y gastos'!$U$15*U21*2),IF(AND(V21="NO",W21='Insumos y gastos'!$T$6),Productos!X21+('Insumos y gastos'!$U$15*Productos!U21),0))))))))))))</f>
        <v>0</v>
      </c>
      <c r="Z21" s="79"/>
      <c r="AA21" s="83">
        <f>IFERROR(VLOOKUP(Z21,Tabla1[[#All],[Nombre insumo]:[Pr. Unidad]],4,0),0)</f>
        <v>0</v>
      </c>
      <c r="AB21" s="11"/>
      <c r="AC21" s="11"/>
      <c r="AD21" s="11"/>
      <c r="AE21" s="83">
        <f t="shared" si="7"/>
        <v>0</v>
      </c>
      <c r="AF21" s="83">
        <f>IF(AND(AC21="SI",AD21='Insumos y gastos'!$J$6),AE21+('Insumos y gastos'!$K$15*AB21*2),IF(AND(AC21="NO",AD21='Insumos y gastos'!$J$6),Productos!AE21+('Insumos y gastos'!$K$15*Productos!AB21),IF(AND(AC21="SI",AD21='Insumos y gastos'!$L$6),AE21+('Insumos y gastos'!$M$15*AB21*2),IF(AND(AC21="NO",AD21='Insumos y gastos'!$L$6),Productos!AE21+('Insumos y gastos'!$M$15*Productos!AB21),IF(AND(AC21="SI",AD21='Insumos y gastos'!$N$6),AE21+('Insumos y gastos'!$O$15*AB21*2),IF(AND(AC21="NO",AD21='Insumos y gastos'!$N$6),Productos!AE21+('Insumos y gastos'!$O$15*Productos!AB21),IF(AND(AC21="SI",AD21='Insumos y gastos'!$P$6),AE21+('Insumos y gastos'!$Q$15*AB21*2),IF(AND(AC21="NO",AD21='Insumos y gastos'!$P$6),Productos!AE21+('Insumos y gastos'!$Q$15*Productos!AB21),IF(AND(AC21="SI",AD21='Insumos y gastos'!$R$6),AE21+('Insumos y gastos'!$S$15*AB21*2),IF(AND(AC21="NO",AD21='Insumos y gastos'!$R$6),Productos!AE21+('Insumos y gastos'!$S$15*Productos!AB21),IF(AND(AC21="SI",AD21='Insumos y gastos'!$T$6),AE21+('Insumos y gastos'!$U$15*AB21*2),IF(AND(AC21="NO",AD21='Insumos y gastos'!$T$6),Productos!AE21+('Insumos y gastos'!$U$15*Productos!AB21),0))))))))))))</f>
        <v>0</v>
      </c>
      <c r="AG21" s="79"/>
      <c r="AH21" s="83">
        <f>IFERROR(VLOOKUP(AG21,Tabla1[[#All],[Nombre insumo]:[Pr. Unidad]],4,0),0)</f>
        <v>0</v>
      </c>
      <c r="AI21" s="11"/>
      <c r="AJ21" s="11"/>
      <c r="AK21" s="11"/>
      <c r="AL21" s="83">
        <f t="shared" si="8"/>
        <v>0</v>
      </c>
      <c r="AM21" s="83">
        <f>IF(AND(AJ21="SI",AK21='Insumos y gastos'!$J$6),AL21+('Insumos y gastos'!$K$15*AI21*2),IF(AND(AJ21="NO",AK21='Insumos y gastos'!$J$6),Productos!AL21+('Insumos y gastos'!$K$15*Productos!AI21),IF(AND(AJ21="SI",AK21='Insumos y gastos'!$L$6),AL21+('Insumos y gastos'!$M$15*AI21*2),IF(AND(AJ21="NO",AK21='Insumos y gastos'!$L$6),Productos!AL21+('Insumos y gastos'!$M$15*Productos!AI21),IF(AND(AJ21="SI",AK21='Insumos y gastos'!$N$6),AL21+('Insumos y gastos'!$O$15*AI21*2),IF(AND(AJ21="NO",AK21='Insumos y gastos'!$N$6),Productos!AL21+('Insumos y gastos'!$O$15*Productos!AI21),IF(AND(AJ21="SI",AK21='Insumos y gastos'!$P$6),AL21+('Insumos y gastos'!$Q$15*AI21*2),IF(AND(AJ21="NO",AK21='Insumos y gastos'!$P$6),Productos!AL21+('Insumos y gastos'!$Q$15*Productos!AI21),IF(AND(AJ21="SI",AK21='Insumos y gastos'!$R$6),AL21+('Insumos y gastos'!$S$15*AI21*2),IF(AND(AJ21="NO",AK21='Insumos y gastos'!$R$6),Productos!AL21+('Insumos y gastos'!$S$15*Productos!AI21),IF(AND(AJ21="SI",AK21='Insumos y gastos'!$T$6),AL21+('Insumos y gastos'!$U$15*AI21*2),IF(AND(AJ21="NO",AK21='Insumos y gastos'!$T$6),Productos!AL21+('Insumos y gastos'!$U$15*Productos!AI21),0))))))))))))</f>
        <v>0</v>
      </c>
      <c r="AN21" s="79"/>
      <c r="AO21" s="84">
        <f>IFERROR(VLOOKUP(AN21,Tabla1[[#All],[Nombre insumo]:[Pr. Unidad]],4,0),0)</f>
        <v>0</v>
      </c>
      <c r="AP21" s="11"/>
      <c r="AQ21" s="84">
        <f>IF(Tabla3[[#This Row],[Costo insumo 1]]&gt;0,Tabla3[[#This Row],[Cantidad insumo 1]]*Tabla3[[#This Row],[Costo insumo 1]],0)</f>
        <v>0</v>
      </c>
      <c r="AR21" s="79"/>
      <c r="AS21" s="84">
        <f>IFERROR(VLOOKUP(AR21,Tabla1[[#All],[Nombre insumo]:[Pr. Unidad]],4,0),0)</f>
        <v>0</v>
      </c>
      <c r="AT21" s="11"/>
      <c r="AU21" s="84">
        <f>IF(Tabla3[[#This Row],[Costo insumo 2]]&gt;0,Tabla3[[#This Row],[Cantidad insumo 2]]*Tabla3[[#This Row],[Costo insumo 2]],0)</f>
        <v>0</v>
      </c>
      <c r="AV21" s="79"/>
      <c r="AW21" s="84">
        <f>IFERROR(VLOOKUP(AV21,Tabla1[[#All],[Nombre insumo]:[Pr. Unidad]],4,0),0)</f>
        <v>0</v>
      </c>
      <c r="AX21" s="11"/>
      <c r="AY21" s="84">
        <f>IF(Tabla3[[#This Row],[Costo insumo 3]]&gt;0,Tabla3[[#This Row],[Cantidad insumo 3]]*Tabla3[[#This Row],[Costo insumo 3]],0)</f>
        <v>0</v>
      </c>
      <c r="AZ21" s="79"/>
      <c r="BA21" s="84">
        <f>IFERROR(VLOOKUP(AZ21,Tabla1[[#All],[Nombre insumo]:[Pr. Unidad]],4,0),0)</f>
        <v>0</v>
      </c>
      <c r="BB21" s="11"/>
      <c r="BC21" s="85">
        <f>IF(Tabla3[[#This Row],[Costo insumo 4]]&gt;0,Tabla3[[#This Row],[Cantidad insumo 4]]*Tabla3[[#This Row],[Costo insumo 4]],0)</f>
        <v>0</v>
      </c>
      <c r="BD21" s="11"/>
      <c r="BE21" s="84">
        <f>IFERROR(VLOOKUP(BD21,Tabla1[[#All],[Nombre insumo]:[Pr. Unidad]],4,0),0)</f>
        <v>0</v>
      </c>
      <c r="BF21" s="11"/>
      <c r="BG21" s="85">
        <f>IF(Tabla3[[#This Row],[Costo insumo 5]]&gt;0,Tabla3[[#This Row],[Cantidad insumo 5]]*Tabla3[[#This Row],[Costo insumo 5]],0)</f>
        <v>0</v>
      </c>
      <c r="BH21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21" s="11"/>
      <c r="BJ21" s="87">
        <f>BI21*'Insumos y gastos'!$M$50</f>
        <v>0</v>
      </c>
      <c r="BK21" s="87">
        <f>BI21*'Insumos y gastos'!$Q$24</f>
        <v>0</v>
      </c>
      <c r="BL21" s="87">
        <f>Tabla3[[#This Row],[Costo sin servicios]]+Tabla3[[#This Row],[Costo servicios]]+Tabla3[[#This Row],[Costo mano de obra]]</f>
        <v>0</v>
      </c>
    </row>
    <row r="22" spans="1:64" ht="20.100000000000001" customHeight="1" x14ac:dyDescent="0.25">
      <c r="A22" s="11">
        <v>10020</v>
      </c>
      <c r="B22" s="95"/>
      <c r="C22" s="11"/>
      <c r="D22" s="80"/>
      <c r="E22" s="11"/>
      <c r="F22" s="83">
        <f>IFERROR(VLOOKUP(E22,Tabla1[[#All],[Nombre insumo]:[Pr. Unidad]],4,0),0)</f>
        <v>0</v>
      </c>
      <c r="G22" s="11"/>
      <c r="H22" s="11"/>
      <c r="I22" s="11"/>
      <c r="J22" s="83">
        <f t="shared" si="4"/>
        <v>0</v>
      </c>
      <c r="K22" s="81">
        <f>IF(AND(H22="SI",I22='Insumos y gastos'!$J$6),J22+('Insumos y gastos'!$K$15*G22*2),IF(AND(H22="NO",I22='Insumos y gastos'!$J$6),Productos!J22+('Insumos y gastos'!$K$15*Productos!G22),IF(AND(H22="SI",I22='Insumos y gastos'!$L$6),J22+('Insumos y gastos'!$M$15*G22*2),IF(AND(H22="NO",I22='Insumos y gastos'!$L$6),Productos!J22+('Insumos y gastos'!$M$15*Productos!G22),IF(AND(H22="SI",I22='Insumos y gastos'!$N$6),J22+('Insumos y gastos'!$O$15*G22*2),IF(AND(H22="NO",I22='Insumos y gastos'!$N$6),Productos!J22+('Insumos y gastos'!$O$15*Productos!G22),IF(AND(H22="SI",I22='Insumos y gastos'!$P$6),J22+('Insumos y gastos'!$Q$15*G22*2),IF(AND(H22="NO",I22='Insumos y gastos'!$P$6),Productos!J22+('Insumos y gastos'!$Q$15*Productos!G22),IF(AND(H22="SI",I22='Insumos y gastos'!$R$6),J22+('Insumos y gastos'!$S$15*G22*2),IF(AND(H22="NO",I22='Insumos y gastos'!$R$6),Productos!J22+('Insumos y gastos'!$S$15*Productos!G22),IF(AND(H22="SI",I22='Insumos y gastos'!$T$6),J22+('Insumos y gastos'!$U$15*G22*2),IF(AND(H22="NO",I22='Insumos y gastos'!$T$6),Productos!J22+('Insumos y gastos'!$U$15*Productos!G22),0))))))))))))</f>
        <v>0</v>
      </c>
      <c r="L22" s="11"/>
      <c r="M22" s="83">
        <f>IFERROR(VLOOKUP(L22,Tabla1[[#All],[Nombre insumo]:[Pr. Unidad]],4,0),0)</f>
        <v>0</v>
      </c>
      <c r="N22" s="11"/>
      <c r="O22" s="11"/>
      <c r="P22" s="11"/>
      <c r="Q22" s="83">
        <f t="shared" si="5"/>
        <v>0</v>
      </c>
      <c r="R22" s="83">
        <f>IF(AND(O22="SI",P22='Insumos y gastos'!$J$6),Q22+('Insumos y gastos'!$K$15*N22*2),IF(AND(O22="NO",P22='Insumos y gastos'!$J$6),Productos!Q22+('Insumos y gastos'!$K$15*Productos!N22),IF(AND(O22="SI",P22='Insumos y gastos'!$L$6),Q22+('Insumos y gastos'!$M$15*N22*2),IF(AND(O22="NO",P22='Insumos y gastos'!$L$6),Productos!Q22+('Insumos y gastos'!$M$15*Productos!N22),IF(AND(O22="SI",P22='Insumos y gastos'!$N$6),Q22+('Insumos y gastos'!$O$15*N22*2),IF(AND(O22="NO",P22='Insumos y gastos'!$N$6),Productos!Q22+('Insumos y gastos'!$O$15*Productos!N22),IF(AND(O22="SI",P22='Insumos y gastos'!$P$6),Q22+('Insumos y gastos'!$Q$15*N22*2),IF(AND(O22="NO",P22='Insumos y gastos'!$P$6),Productos!Q22+('Insumos y gastos'!$Q$15*Productos!N22),IF(AND(O22="SI",P22='Insumos y gastos'!$R$6),Q22+('Insumos y gastos'!$S$15*N22*2),IF(AND(O22="NO",P22='Insumos y gastos'!$R$6),Productos!Q22+('Insumos y gastos'!$S$15*Productos!N22),IF(AND(O22="SI",P22='Insumos y gastos'!$T$6),Q22+('Insumos y gastos'!$U$15*N22*2),IF(AND(O22="NO",P22='Insumos y gastos'!$T$6),Productos!Q22+('Insumos y gastos'!$U$15*Productos!N22),0))))))))))))</f>
        <v>0</v>
      </c>
      <c r="S22" s="79"/>
      <c r="T22" s="83">
        <f>IFERROR(VLOOKUP(S22,Tabla1[[#All],[Nombre insumo]:[Pr. Unidad]],4,0),0)</f>
        <v>0</v>
      </c>
      <c r="U22" s="11"/>
      <c r="V22" s="11"/>
      <c r="W22" s="11"/>
      <c r="X22" s="83">
        <f t="shared" si="6"/>
        <v>0</v>
      </c>
      <c r="Y22" s="83">
        <f>IF(AND(V22="SI",W22='Insumos y gastos'!$J$6),X22+('Insumos y gastos'!$K$15*U22*2),IF(AND(V22="NO",W22='Insumos y gastos'!$J$6),Productos!X22+('Insumos y gastos'!$K$15*Productos!U22),IF(AND(V22="SI",W22='Insumos y gastos'!$L$6),X22+('Insumos y gastos'!$M$15*U22*2),IF(AND(V22="NO",W22='Insumos y gastos'!$L$6),Productos!X22+('Insumos y gastos'!$M$15*Productos!U22),IF(AND(V22="SI",W22='Insumos y gastos'!$N$6),X22+('Insumos y gastos'!$O$15*U22*2),IF(AND(V22="NO",W22='Insumos y gastos'!$N$6),Productos!X22+('Insumos y gastos'!$O$15*Productos!U22),IF(AND(V22="SI",W22='Insumos y gastos'!$P$6),X22+('Insumos y gastos'!$Q$15*U22*2),IF(AND(V22="NO",W22='Insumos y gastos'!$P$6),Productos!X22+('Insumos y gastos'!$Q$15*Productos!U22),IF(AND(V22="SI",W22='Insumos y gastos'!$R$6),X22+('Insumos y gastos'!$S$15*U22*2),IF(AND(V22="NO",W22='Insumos y gastos'!$R$6),Productos!X22+('Insumos y gastos'!$S$15*Productos!U22),IF(AND(V22="SI",W22='Insumos y gastos'!$T$6),X22+('Insumos y gastos'!$U$15*U22*2),IF(AND(V22="NO",W22='Insumos y gastos'!$T$6),Productos!X22+('Insumos y gastos'!$U$15*Productos!U22),0))))))))))))</f>
        <v>0</v>
      </c>
      <c r="Z22" s="79"/>
      <c r="AA22" s="83">
        <f>IFERROR(VLOOKUP(Z22,Tabla1[[#All],[Nombre insumo]:[Pr. Unidad]],4,0),0)</f>
        <v>0</v>
      </c>
      <c r="AB22" s="11"/>
      <c r="AC22" s="11"/>
      <c r="AD22" s="11"/>
      <c r="AE22" s="83">
        <f t="shared" si="7"/>
        <v>0</v>
      </c>
      <c r="AF22" s="83">
        <f>IF(AND(AC22="SI",AD22='Insumos y gastos'!$J$6),AE22+('Insumos y gastos'!$K$15*AB22*2),IF(AND(AC22="NO",AD22='Insumos y gastos'!$J$6),Productos!AE22+('Insumos y gastos'!$K$15*Productos!AB22),IF(AND(AC22="SI",AD22='Insumos y gastos'!$L$6),AE22+('Insumos y gastos'!$M$15*AB22*2),IF(AND(AC22="NO",AD22='Insumos y gastos'!$L$6),Productos!AE22+('Insumos y gastos'!$M$15*Productos!AB22),IF(AND(AC22="SI",AD22='Insumos y gastos'!$N$6),AE22+('Insumos y gastos'!$O$15*AB22*2),IF(AND(AC22="NO",AD22='Insumos y gastos'!$N$6),Productos!AE22+('Insumos y gastos'!$O$15*Productos!AB22),IF(AND(AC22="SI",AD22='Insumos y gastos'!$P$6),AE22+('Insumos y gastos'!$Q$15*AB22*2),IF(AND(AC22="NO",AD22='Insumos y gastos'!$P$6),Productos!AE22+('Insumos y gastos'!$Q$15*Productos!AB22),IF(AND(AC22="SI",AD22='Insumos y gastos'!$R$6),AE22+('Insumos y gastos'!$S$15*AB22*2),IF(AND(AC22="NO",AD22='Insumos y gastos'!$R$6),Productos!AE22+('Insumos y gastos'!$S$15*Productos!AB22),IF(AND(AC22="SI",AD22='Insumos y gastos'!$T$6),AE22+('Insumos y gastos'!$U$15*AB22*2),IF(AND(AC22="NO",AD22='Insumos y gastos'!$T$6),Productos!AE22+('Insumos y gastos'!$U$15*Productos!AB22),0))))))))))))</f>
        <v>0</v>
      </c>
      <c r="AG22" s="79"/>
      <c r="AH22" s="83">
        <f>IFERROR(VLOOKUP(AG22,Tabla1[[#All],[Nombre insumo]:[Pr. Unidad]],4,0),0)</f>
        <v>0</v>
      </c>
      <c r="AI22" s="11"/>
      <c r="AJ22" s="11"/>
      <c r="AK22" s="11"/>
      <c r="AL22" s="83">
        <f t="shared" si="8"/>
        <v>0</v>
      </c>
      <c r="AM22" s="83">
        <f>IF(AND(AJ22="SI",AK22='Insumos y gastos'!$J$6),AL22+('Insumos y gastos'!$K$15*AI22*2),IF(AND(AJ22="NO",AK22='Insumos y gastos'!$J$6),Productos!AL22+('Insumos y gastos'!$K$15*Productos!AI22),IF(AND(AJ22="SI",AK22='Insumos y gastos'!$L$6),AL22+('Insumos y gastos'!$M$15*AI22*2),IF(AND(AJ22="NO",AK22='Insumos y gastos'!$L$6),Productos!AL22+('Insumos y gastos'!$M$15*Productos!AI22),IF(AND(AJ22="SI",AK22='Insumos y gastos'!$N$6),AL22+('Insumos y gastos'!$O$15*AI22*2),IF(AND(AJ22="NO",AK22='Insumos y gastos'!$N$6),Productos!AL22+('Insumos y gastos'!$O$15*Productos!AI22),IF(AND(AJ22="SI",AK22='Insumos y gastos'!$P$6),AL22+('Insumos y gastos'!$Q$15*AI22*2),IF(AND(AJ22="NO",AK22='Insumos y gastos'!$P$6),Productos!AL22+('Insumos y gastos'!$Q$15*Productos!AI22),IF(AND(AJ22="SI",AK22='Insumos y gastos'!$R$6),AL22+('Insumos y gastos'!$S$15*AI22*2),IF(AND(AJ22="NO",AK22='Insumos y gastos'!$R$6),Productos!AL22+('Insumos y gastos'!$S$15*Productos!AI22),IF(AND(AJ22="SI",AK22='Insumos y gastos'!$T$6),AL22+('Insumos y gastos'!$U$15*AI22*2),IF(AND(AJ22="NO",AK22='Insumos y gastos'!$T$6),Productos!AL22+('Insumos y gastos'!$U$15*Productos!AI22),0))))))))))))</f>
        <v>0</v>
      </c>
      <c r="AN22" s="79"/>
      <c r="AO22" s="84">
        <f>IFERROR(VLOOKUP(AN22,Tabla1[[#All],[Nombre insumo]:[Pr. Unidad]],4,0),0)</f>
        <v>0</v>
      </c>
      <c r="AP22" s="11"/>
      <c r="AQ22" s="84">
        <f>IF(Tabla3[[#This Row],[Costo insumo 1]]&gt;0,Tabla3[[#This Row],[Cantidad insumo 1]]*Tabla3[[#This Row],[Costo insumo 1]],0)</f>
        <v>0</v>
      </c>
      <c r="AR22" s="79"/>
      <c r="AS22" s="84">
        <f>IFERROR(VLOOKUP(AR22,Tabla1[[#All],[Nombre insumo]:[Pr. Unidad]],4,0),0)</f>
        <v>0</v>
      </c>
      <c r="AT22" s="11"/>
      <c r="AU22" s="84">
        <f>IF(Tabla3[[#This Row],[Costo insumo 2]]&gt;0,Tabla3[[#This Row],[Cantidad insumo 2]]*Tabla3[[#This Row],[Costo insumo 2]],0)</f>
        <v>0</v>
      </c>
      <c r="AV22" s="79"/>
      <c r="AW22" s="84">
        <f>IFERROR(VLOOKUP(AV22,Tabla1[[#All],[Nombre insumo]:[Pr. Unidad]],4,0),0)</f>
        <v>0</v>
      </c>
      <c r="AX22" s="11"/>
      <c r="AY22" s="84">
        <f>IF(Tabla3[[#This Row],[Costo insumo 3]]&gt;0,Tabla3[[#This Row],[Cantidad insumo 3]]*Tabla3[[#This Row],[Costo insumo 3]],0)</f>
        <v>0</v>
      </c>
      <c r="AZ22" s="79"/>
      <c r="BA22" s="84">
        <f>IFERROR(VLOOKUP(AZ22,Tabla1[[#All],[Nombre insumo]:[Pr. Unidad]],4,0),0)</f>
        <v>0</v>
      </c>
      <c r="BB22" s="11"/>
      <c r="BC22" s="85">
        <f>IF(Tabla3[[#This Row],[Costo insumo 4]]&gt;0,Tabla3[[#This Row],[Cantidad insumo 4]]*Tabla3[[#This Row],[Costo insumo 4]],0)</f>
        <v>0</v>
      </c>
      <c r="BD22" s="11"/>
      <c r="BE22" s="84">
        <f>IFERROR(VLOOKUP(BD22,Tabla1[[#All],[Nombre insumo]:[Pr. Unidad]],4,0),0)</f>
        <v>0</v>
      </c>
      <c r="BF22" s="11"/>
      <c r="BG22" s="85">
        <f>IF(Tabla3[[#This Row],[Costo insumo 5]]&gt;0,Tabla3[[#This Row],[Cantidad insumo 5]]*Tabla3[[#This Row],[Costo insumo 5]],0)</f>
        <v>0</v>
      </c>
      <c r="BH22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22" s="11"/>
      <c r="BJ22" s="87">
        <f>BI22*'Insumos y gastos'!$M$50</f>
        <v>0</v>
      </c>
      <c r="BK22" s="87">
        <f>BI22*'Insumos y gastos'!$Q$24</f>
        <v>0</v>
      </c>
      <c r="BL22" s="87">
        <f>Tabla3[[#This Row],[Costo sin servicios]]+Tabla3[[#This Row],[Costo servicios]]+Tabla3[[#This Row],[Costo mano de obra]]</f>
        <v>0</v>
      </c>
    </row>
    <row r="23" spans="1:64" ht="20.100000000000001" customHeight="1" x14ac:dyDescent="0.25">
      <c r="A23" s="11">
        <v>10021</v>
      </c>
      <c r="B23" s="95"/>
      <c r="C23" s="11"/>
      <c r="D23" s="80"/>
      <c r="E23" s="11"/>
      <c r="F23" s="83">
        <f>IFERROR(VLOOKUP(E23,Tabla1[[#All],[Nombre insumo]:[Pr. Unidad]],4,0),0)</f>
        <v>0</v>
      </c>
      <c r="G23" s="11"/>
      <c r="H23" s="11"/>
      <c r="I23" s="11"/>
      <c r="J23" s="83">
        <f t="shared" si="4"/>
        <v>0</v>
      </c>
      <c r="K23" s="81">
        <f>IF(AND(H23="SI",I23='Insumos y gastos'!$J$6),J23+('Insumos y gastos'!$K$15*G23*2),IF(AND(H23="NO",I23='Insumos y gastos'!$J$6),Productos!J23+('Insumos y gastos'!$K$15*Productos!G23),IF(AND(H23="SI",I23='Insumos y gastos'!$L$6),J23+('Insumos y gastos'!$M$15*G23*2),IF(AND(H23="NO",I23='Insumos y gastos'!$L$6),Productos!J23+('Insumos y gastos'!$M$15*Productos!G23),IF(AND(H23="SI",I23='Insumos y gastos'!$N$6),J23+('Insumos y gastos'!$O$15*G23*2),IF(AND(H23="NO",I23='Insumos y gastos'!$N$6),Productos!J23+('Insumos y gastos'!$O$15*Productos!G23),IF(AND(H23="SI",I23='Insumos y gastos'!$P$6),J23+('Insumos y gastos'!$Q$15*G23*2),IF(AND(H23="NO",I23='Insumos y gastos'!$P$6),Productos!J23+('Insumos y gastos'!$Q$15*Productos!G23),IF(AND(H23="SI",I23='Insumos y gastos'!$R$6),J23+('Insumos y gastos'!$S$15*G23*2),IF(AND(H23="NO",I23='Insumos y gastos'!$R$6),Productos!J23+('Insumos y gastos'!$S$15*Productos!G23),IF(AND(H23="SI",I23='Insumos y gastos'!$T$6),J23+('Insumos y gastos'!$U$15*G23*2),IF(AND(H23="NO",I23='Insumos y gastos'!$T$6),Productos!J23+('Insumos y gastos'!$U$15*Productos!G23),0))))))))))))</f>
        <v>0</v>
      </c>
      <c r="L23" s="11"/>
      <c r="M23" s="83">
        <f>IFERROR(VLOOKUP(L23,Tabla1[[#All],[Nombre insumo]:[Pr. Unidad]],4,0),0)</f>
        <v>0</v>
      </c>
      <c r="N23" s="11"/>
      <c r="O23" s="11"/>
      <c r="P23" s="11"/>
      <c r="Q23" s="83">
        <f t="shared" si="5"/>
        <v>0</v>
      </c>
      <c r="R23" s="83">
        <f>IF(AND(O23="SI",P23='Insumos y gastos'!$J$6),Q23+('Insumos y gastos'!$K$15*N23*2),IF(AND(O23="NO",P23='Insumos y gastos'!$J$6),Productos!Q23+('Insumos y gastos'!$K$15*Productos!N23),IF(AND(O23="SI",P23='Insumos y gastos'!$L$6),Q23+('Insumos y gastos'!$M$15*N23*2),IF(AND(O23="NO",P23='Insumos y gastos'!$L$6),Productos!Q23+('Insumos y gastos'!$M$15*Productos!N23),IF(AND(O23="SI",P23='Insumos y gastos'!$N$6),Q23+('Insumos y gastos'!$O$15*N23*2),IF(AND(O23="NO",P23='Insumos y gastos'!$N$6),Productos!Q23+('Insumos y gastos'!$O$15*Productos!N23),IF(AND(O23="SI",P23='Insumos y gastos'!$P$6),Q23+('Insumos y gastos'!$Q$15*N23*2),IF(AND(O23="NO",P23='Insumos y gastos'!$P$6),Productos!Q23+('Insumos y gastos'!$Q$15*Productos!N23),IF(AND(O23="SI",P23='Insumos y gastos'!$R$6),Q23+('Insumos y gastos'!$S$15*N23*2),IF(AND(O23="NO",P23='Insumos y gastos'!$R$6),Productos!Q23+('Insumos y gastos'!$S$15*Productos!N23),IF(AND(O23="SI",P23='Insumos y gastos'!$T$6),Q23+('Insumos y gastos'!$U$15*N23*2),IF(AND(O23="NO",P23='Insumos y gastos'!$T$6),Productos!Q23+('Insumos y gastos'!$U$15*Productos!N23),0))))))))))))</f>
        <v>0</v>
      </c>
      <c r="S23" s="79"/>
      <c r="T23" s="83">
        <f>IFERROR(VLOOKUP(S23,Tabla1[[#All],[Nombre insumo]:[Pr. Unidad]],4,0),0)</f>
        <v>0</v>
      </c>
      <c r="U23" s="11"/>
      <c r="V23" s="11"/>
      <c r="W23" s="11"/>
      <c r="X23" s="83">
        <f t="shared" si="6"/>
        <v>0</v>
      </c>
      <c r="Y23" s="83">
        <f>IF(AND(V23="SI",W23='Insumos y gastos'!$J$6),X23+('Insumos y gastos'!$K$15*U23*2),IF(AND(V23="NO",W23='Insumos y gastos'!$J$6),Productos!X23+('Insumos y gastos'!$K$15*Productos!U23),IF(AND(V23="SI",W23='Insumos y gastos'!$L$6),X23+('Insumos y gastos'!$M$15*U23*2),IF(AND(V23="NO",W23='Insumos y gastos'!$L$6),Productos!X23+('Insumos y gastos'!$M$15*Productos!U23),IF(AND(V23="SI",W23='Insumos y gastos'!$N$6),X23+('Insumos y gastos'!$O$15*U23*2),IF(AND(V23="NO",W23='Insumos y gastos'!$N$6),Productos!X23+('Insumos y gastos'!$O$15*Productos!U23),IF(AND(V23="SI",W23='Insumos y gastos'!$P$6),X23+('Insumos y gastos'!$Q$15*U23*2),IF(AND(V23="NO",W23='Insumos y gastos'!$P$6),Productos!X23+('Insumos y gastos'!$Q$15*Productos!U23),IF(AND(V23="SI",W23='Insumos y gastos'!$R$6),X23+('Insumos y gastos'!$S$15*U23*2),IF(AND(V23="NO",W23='Insumos y gastos'!$R$6),Productos!X23+('Insumos y gastos'!$S$15*Productos!U23),IF(AND(V23="SI",W23='Insumos y gastos'!$T$6),X23+('Insumos y gastos'!$U$15*U23*2),IF(AND(V23="NO",W23='Insumos y gastos'!$T$6),Productos!X23+('Insumos y gastos'!$U$15*Productos!U23),0))))))))))))</f>
        <v>0</v>
      </c>
      <c r="Z23" s="79"/>
      <c r="AA23" s="83">
        <f>IFERROR(VLOOKUP(Z23,Tabla1[[#All],[Nombre insumo]:[Pr. Unidad]],4,0),0)</f>
        <v>0</v>
      </c>
      <c r="AB23" s="11"/>
      <c r="AC23" s="11"/>
      <c r="AD23" s="11"/>
      <c r="AE23" s="83">
        <f t="shared" si="7"/>
        <v>0</v>
      </c>
      <c r="AF23" s="83">
        <f>IF(AND(AC23="SI",AD23='Insumos y gastos'!$J$6),AE23+('Insumos y gastos'!$K$15*AB23*2),IF(AND(AC23="NO",AD23='Insumos y gastos'!$J$6),Productos!AE23+('Insumos y gastos'!$K$15*Productos!AB23),IF(AND(AC23="SI",AD23='Insumos y gastos'!$L$6),AE23+('Insumos y gastos'!$M$15*AB23*2),IF(AND(AC23="NO",AD23='Insumos y gastos'!$L$6),Productos!AE23+('Insumos y gastos'!$M$15*Productos!AB23),IF(AND(AC23="SI",AD23='Insumos y gastos'!$N$6),AE23+('Insumos y gastos'!$O$15*AB23*2),IF(AND(AC23="NO",AD23='Insumos y gastos'!$N$6),Productos!AE23+('Insumos y gastos'!$O$15*Productos!AB23),IF(AND(AC23="SI",AD23='Insumos y gastos'!$P$6),AE23+('Insumos y gastos'!$Q$15*AB23*2),IF(AND(AC23="NO",AD23='Insumos y gastos'!$P$6),Productos!AE23+('Insumos y gastos'!$Q$15*Productos!AB23),IF(AND(AC23="SI",AD23='Insumos y gastos'!$R$6),AE23+('Insumos y gastos'!$S$15*AB23*2),IF(AND(AC23="NO",AD23='Insumos y gastos'!$R$6),Productos!AE23+('Insumos y gastos'!$S$15*Productos!AB23),IF(AND(AC23="SI",AD23='Insumos y gastos'!$T$6),AE23+('Insumos y gastos'!$U$15*AB23*2),IF(AND(AC23="NO",AD23='Insumos y gastos'!$T$6),Productos!AE23+('Insumos y gastos'!$U$15*Productos!AB23),0))))))))))))</f>
        <v>0</v>
      </c>
      <c r="AG23" s="79"/>
      <c r="AH23" s="83">
        <f>IFERROR(VLOOKUP(AG23,Tabla1[[#All],[Nombre insumo]:[Pr. Unidad]],4,0),0)</f>
        <v>0</v>
      </c>
      <c r="AI23" s="11"/>
      <c r="AJ23" s="11"/>
      <c r="AK23" s="11"/>
      <c r="AL23" s="83">
        <f t="shared" si="8"/>
        <v>0</v>
      </c>
      <c r="AM23" s="83">
        <f>IF(AND(AJ23="SI",AK23='Insumos y gastos'!$J$6),AL23+('Insumos y gastos'!$K$15*AI23*2),IF(AND(AJ23="NO",AK23='Insumos y gastos'!$J$6),Productos!AL23+('Insumos y gastos'!$K$15*Productos!AI23),IF(AND(AJ23="SI",AK23='Insumos y gastos'!$L$6),AL23+('Insumos y gastos'!$M$15*AI23*2),IF(AND(AJ23="NO",AK23='Insumos y gastos'!$L$6),Productos!AL23+('Insumos y gastos'!$M$15*Productos!AI23),IF(AND(AJ23="SI",AK23='Insumos y gastos'!$N$6),AL23+('Insumos y gastos'!$O$15*AI23*2),IF(AND(AJ23="NO",AK23='Insumos y gastos'!$N$6),Productos!AL23+('Insumos y gastos'!$O$15*Productos!AI23),IF(AND(AJ23="SI",AK23='Insumos y gastos'!$P$6),AL23+('Insumos y gastos'!$Q$15*AI23*2),IF(AND(AJ23="NO",AK23='Insumos y gastos'!$P$6),Productos!AL23+('Insumos y gastos'!$Q$15*Productos!AI23),IF(AND(AJ23="SI",AK23='Insumos y gastos'!$R$6),AL23+('Insumos y gastos'!$S$15*AI23*2),IF(AND(AJ23="NO",AK23='Insumos y gastos'!$R$6),Productos!AL23+('Insumos y gastos'!$S$15*Productos!AI23),IF(AND(AJ23="SI",AK23='Insumos y gastos'!$T$6),AL23+('Insumos y gastos'!$U$15*AI23*2),IF(AND(AJ23="NO",AK23='Insumos y gastos'!$T$6),Productos!AL23+('Insumos y gastos'!$U$15*Productos!AI23),0))))))))))))</f>
        <v>0</v>
      </c>
      <c r="AN23" s="79"/>
      <c r="AO23" s="84">
        <f>IFERROR(VLOOKUP(AN23,Tabla1[[#All],[Nombre insumo]:[Pr. Unidad]],4,0),0)</f>
        <v>0</v>
      </c>
      <c r="AP23" s="11"/>
      <c r="AQ23" s="84">
        <f>IF(Tabla3[[#This Row],[Costo insumo 1]]&gt;0,Tabla3[[#This Row],[Cantidad insumo 1]]*Tabla3[[#This Row],[Costo insumo 1]],0)</f>
        <v>0</v>
      </c>
      <c r="AR23" s="79"/>
      <c r="AS23" s="84">
        <f>IFERROR(VLOOKUP(AR23,Tabla1[[#All],[Nombre insumo]:[Pr. Unidad]],4,0),0)</f>
        <v>0</v>
      </c>
      <c r="AT23" s="11"/>
      <c r="AU23" s="84">
        <f>IF(Tabla3[[#This Row],[Costo insumo 2]]&gt;0,Tabla3[[#This Row],[Cantidad insumo 2]]*Tabla3[[#This Row],[Costo insumo 2]],0)</f>
        <v>0</v>
      </c>
      <c r="AV23" s="79"/>
      <c r="AW23" s="84">
        <f>IFERROR(VLOOKUP(AV23,Tabla1[[#All],[Nombre insumo]:[Pr. Unidad]],4,0),0)</f>
        <v>0</v>
      </c>
      <c r="AX23" s="11"/>
      <c r="AY23" s="84">
        <f>IF(Tabla3[[#This Row],[Costo insumo 3]]&gt;0,Tabla3[[#This Row],[Cantidad insumo 3]]*Tabla3[[#This Row],[Costo insumo 3]],0)</f>
        <v>0</v>
      </c>
      <c r="AZ23" s="79"/>
      <c r="BA23" s="84">
        <f>IFERROR(VLOOKUP(AZ23,Tabla1[[#All],[Nombre insumo]:[Pr. Unidad]],4,0),0)</f>
        <v>0</v>
      </c>
      <c r="BB23" s="11"/>
      <c r="BC23" s="85">
        <f>IF(Tabla3[[#This Row],[Costo insumo 4]]&gt;0,Tabla3[[#This Row],[Cantidad insumo 4]]*Tabla3[[#This Row],[Costo insumo 4]],0)</f>
        <v>0</v>
      </c>
      <c r="BD23" s="11"/>
      <c r="BE23" s="84">
        <f>IFERROR(VLOOKUP(BD23,Tabla1[[#All],[Nombre insumo]:[Pr. Unidad]],4,0),0)</f>
        <v>0</v>
      </c>
      <c r="BF23" s="11"/>
      <c r="BG23" s="85">
        <f>IF(Tabla3[[#This Row],[Costo insumo 5]]&gt;0,Tabla3[[#This Row],[Cantidad insumo 5]]*Tabla3[[#This Row],[Costo insumo 5]],0)</f>
        <v>0</v>
      </c>
      <c r="BH23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23" s="11"/>
      <c r="BJ23" s="87">
        <f>BI23*'Insumos y gastos'!$M$50</f>
        <v>0</v>
      </c>
      <c r="BK23" s="87">
        <f>BI23*'Insumos y gastos'!$Q$24</f>
        <v>0</v>
      </c>
      <c r="BL23" s="87">
        <f>Tabla3[[#This Row],[Costo sin servicios]]+Tabla3[[#This Row],[Costo servicios]]+Tabla3[[#This Row],[Costo mano de obra]]</f>
        <v>0</v>
      </c>
    </row>
    <row r="24" spans="1:64" ht="20.100000000000001" customHeight="1" x14ac:dyDescent="0.25">
      <c r="A24" s="11">
        <v>10022</v>
      </c>
      <c r="B24" s="95"/>
      <c r="C24" s="11"/>
      <c r="D24" s="80"/>
      <c r="E24" s="11"/>
      <c r="F24" s="83">
        <f>IFERROR(VLOOKUP(E24,Tabla1[[#All],[Nombre insumo]:[Pr. Unidad]],4,0),0)</f>
        <v>0</v>
      </c>
      <c r="G24" s="11"/>
      <c r="H24" s="11"/>
      <c r="I24" s="11"/>
      <c r="J24" s="83">
        <f t="shared" si="4"/>
        <v>0</v>
      </c>
      <c r="K24" s="81">
        <f>IF(AND(H24="SI",I24='Insumos y gastos'!$J$6),J24+('Insumos y gastos'!$K$15*G24*2),IF(AND(H24="NO",I24='Insumos y gastos'!$J$6),Productos!J24+('Insumos y gastos'!$K$15*Productos!G24),IF(AND(H24="SI",I24='Insumos y gastos'!$L$6),J24+('Insumos y gastos'!$M$15*G24*2),IF(AND(H24="NO",I24='Insumos y gastos'!$L$6),Productos!J24+('Insumos y gastos'!$M$15*Productos!G24),IF(AND(H24="SI",I24='Insumos y gastos'!$N$6),J24+('Insumos y gastos'!$O$15*G24*2),IF(AND(H24="NO",I24='Insumos y gastos'!$N$6),Productos!J24+('Insumos y gastos'!$O$15*Productos!G24),IF(AND(H24="SI",I24='Insumos y gastos'!$P$6),J24+('Insumos y gastos'!$Q$15*G24*2),IF(AND(H24="NO",I24='Insumos y gastos'!$P$6),Productos!J24+('Insumos y gastos'!$Q$15*Productos!G24),IF(AND(H24="SI",I24='Insumos y gastos'!$R$6),J24+('Insumos y gastos'!$S$15*G24*2),IF(AND(H24="NO",I24='Insumos y gastos'!$R$6),Productos!J24+('Insumos y gastos'!$S$15*Productos!G24),IF(AND(H24="SI",I24='Insumos y gastos'!$T$6),J24+('Insumos y gastos'!$U$15*G24*2),IF(AND(H24="NO",I24='Insumos y gastos'!$T$6),Productos!J24+('Insumos y gastos'!$U$15*Productos!G24),0))))))))))))</f>
        <v>0</v>
      </c>
      <c r="L24" s="11"/>
      <c r="M24" s="83">
        <f>IFERROR(VLOOKUP(L24,Tabla1[[#All],[Nombre insumo]:[Pr. Unidad]],4,0),0)</f>
        <v>0</v>
      </c>
      <c r="N24" s="11"/>
      <c r="O24" s="11"/>
      <c r="P24" s="11"/>
      <c r="Q24" s="83">
        <f t="shared" si="5"/>
        <v>0</v>
      </c>
      <c r="R24" s="83">
        <f>IF(AND(O24="SI",P24='Insumos y gastos'!$J$6),Q24+('Insumos y gastos'!$K$15*N24*2),IF(AND(O24="NO",P24='Insumos y gastos'!$J$6),Productos!Q24+('Insumos y gastos'!$K$15*Productos!N24),IF(AND(O24="SI",P24='Insumos y gastos'!$L$6),Q24+('Insumos y gastos'!$M$15*N24*2),IF(AND(O24="NO",P24='Insumos y gastos'!$L$6),Productos!Q24+('Insumos y gastos'!$M$15*Productos!N24),IF(AND(O24="SI",P24='Insumos y gastos'!$N$6),Q24+('Insumos y gastos'!$O$15*N24*2),IF(AND(O24="NO",P24='Insumos y gastos'!$N$6),Productos!Q24+('Insumos y gastos'!$O$15*Productos!N24),IF(AND(O24="SI",P24='Insumos y gastos'!$P$6),Q24+('Insumos y gastos'!$Q$15*N24*2),IF(AND(O24="NO",P24='Insumos y gastos'!$P$6),Productos!Q24+('Insumos y gastos'!$Q$15*Productos!N24),IF(AND(O24="SI",P24='Insumos y gastos'!$R$6),Q24+('Insumos y gastos'!$S$15*N24*2),IF(AND(O24="NO",P24='Insumos y gastos'!$R$6),Productos!Q24+('Insumos y gastos'!$S$15*Productos!N24),IF(AND(O24="SI",P24='Insumos y gastos'!$T$6),Q24+('Insumos y gastos'!$U$15*N24*2),IF(AND(O24="NO",P24='Insumos y gastos'!$T$6),Productos!Q24+('Insumos y gastos'!$U$15*Productos!N24),0))))))))))))</f>
        <v>0</v>
      </c>
      <c r="S24" s="79"/>
      <c r="T24" s="83">
        <f>IFERROR(VLOOKUP(S24,Tabla1[[#All],[Nombre insumo]:[Pr. Unidad]],4,0),0)</f>
        <v>0</v>
      </c>
      <c r="U24" s="11"/>
      <c r="V24" s="11"/>
      <c r="W24" s="11"/>
      <c r="X24" s="83">
        <f t="shared" si="6"/>
        <v>0</v>
      </c>
      <c r="Y24" s="83">
        <f>IF(AND(V24="SI",W24='Insumos y gastos'!$J$6),X24+('Insumos y gastos'!$K$15*U24*2),IF(AND(V24="NO",W24='Insumos y gastos'!$J$6),Productos!X24+('Insumos y gastos'!$K$15*Productos!U24),IF(AND(V24="SI",W24='Insumos y gastos'!$L$6),X24+('Insumos y gastos'!$M$15*U24*2),IF(AND(V24="NO",W24='Insumos y gastos'!$L$6),Productos!X24+('Insumos y gastos'!$M$15*Productos!U24),IF(AND(V24="SI",W24='Insumos y gastos'!$N$6),X24+('Insumos y gastos'!$O$15*U24*2),IF(AND(V24="NO",W24='Insumos y gastos'!$N$6),Productos!X24+('Insumos y gastos'!$O$15*Productos!U24),IF(AND(V24="SI",W24='Insumos y gastos'!$P$6),X24+('Insumos y gastos'!$Q$15*U24*2),IF(AND(V24="NO",W24='Insumos y gastos'!$P$6),Productos!X24+('Insumos y gastos'!$Q$15*Productos!U24),IF(AND(V24="SI",W24='Insumos y gastos'!$R$6),X24+('Insumos y gastos'!$S$15*U24*2),IF(AND(V24="NO",W24='Insumos y gastos'!$R$6),Productos!X24+('Insumos y gastos'!$S$15*Productos!U24),IF(AND(V24="SI",W24='Insumos y gastos'!$T$6),X24+('Insumos y gastos'!$U$15*U24*2),IF(AND(V24="NO",W24='Insumos y gastos'!$T$6),Productos!X24+('Insumos y gastos'!$U$15*Productos!U24),0))))))))))))</f>
        <v>0</v>
      </c>
      <c r="Z24" s="79"/>
      <c r="AA24" s="83">
        <f>IFERROR(VLOOKUP(Z24,Tabla1[[#All],[Nombre insumo]:[Pr. Unidad]],4,0),0)</f>
        <v>0</v>
      </c>
      <c r="AB24" s="11"/>
      <c r="AC24" s="11"/>
      <c r="AD24" s="11"/>
      <c r="AE24" s="83">
        <f t="shared" si="7"/>
        <v>0</v>
      </c>
      <c r="AF24" s="83">
        <f>IF(AND(AC24="SI",AD24='Insumos y gastos'!$J$6),AE24+('Insumos y gastos'!$K$15*AB24*2),IF(AND(AC24="NO",AD24='Insumos y gastos'!$J$6),Productos!AE24+('Insumos y gastos'!$K$15*Productos!AB24),IF(AND(AC24="SI",AD24='Insumos y gastos'!$L$6),AE24+('Insumos y gastos'!$M$15*AB24*2),IF(AND(AC24="NO",AD24='Insumos y gastos'!$L$6),Productos!AE24+('Insumos y gastos'!$M$15*Productos!AB24),IF(AND(AC24="SI",AD24='Insumos y gastos'!$N$6),AE24+('Insumos y gastos'!$O$15*AB24*2),IF(AND(AC24="NO",AD24='Insumos y gastos'!$N$6),Productos!AE24+('Insumos y gastos'!$O$15*Productos!AB24),IF(AND(AC24="SI",AD24='Insumos y gastos'!$P$6),AE24+('Insumos y gastos'!$Q$15*AB24*2),IF(AND(AC24="NO",AD24='Insumos y gastos'!$P$6),Productos!AE24+('Insumos y gastos'!$Q$15*Productos!AB24),IF(AND(AC24="SI",AD24='Insumos y gastos'!$R$6),AE24+('Insumos y gastos'!$S$15*AB24*2),IF(AND(AC24="NO",AD24='Insumos y gastos'!$R$6),Productos!AE24+('Insumos y gastos'!$S$15*Productos!AB24),IF(AND(AC24="SI",AD24='Insumos y gastos'!$T$6),AE24+('Insumos y gastos'!$U$15*AB24*2),IF(AND(AC24="NO",AD24='Insumos y gastos'!$T$6),Productos!AE24+('Insumos y gastos'!$U$15*Productos!AB24),0))))))))))))</f>
        <v>0</v>
      </c>
      <c r="AG24" s="79"/>
      <c r="AH24" s="83">
        <f>IFERROR(VLOOKUP(AG24,Tabla1[[#All],[Nombre insumo]:[Pr. Unidad]],4,0),0)</f>
        <v>0</v>
      </c>
      <c r="AI24" s="11"/>
      <c r="AJ24" s="11"/>
      <c r="AK24" s="11"/>
      <c r="AL24" s="83">
        <f t="shared" si="8"/>
        <v>0</v>
      </c>
      <c r="AM24" s="83">
        <f>IF(AND(AJ24="SI",AK24='Insumos y gastos'!$J$6),AL24+('Insumos y gastos'!$K$15*AI24*2),IF(AND(AJ24="NO",AK24='Insumos y gastos'!$J$6),Productos!AL24+('Insumos y gastos'!$K$15*Productos!AI24),IF(AND(AJ24="SI",AK24='Insumos y gastos'!$L$6),AL24+('Insumos y gastos'!$M$15*AI24*2),IF(AND(AJ24="NO",AK24='Insumos y gastos'!$L$6),Productos!AL24+('Insumos y gastos'!$M$15*Productos!AI24),IF(AND(AJ24="SI",AK24='Insumos y gastos'!$N$6),AL24+('Insumos y gastos'!$O$15*AI24*2),IF(AND(AJ24="NO",AK24='Insumos y gastos'!$N$6),Productos!AL24+('Insumos y gastos'!$O$15*Productos!AI24),IF(AND(AJ24="SI",AK24='Insumos y gastos'!$P$6),AL24+('Insumos y gastos'!$Q$15*AI24*2),IF(AND(AJ24="NO",AK24='Insumos y gastos'!$P$6),Productos!AL24+('Insumos y gastos'!$Q$15*Productos!AI24),IF(AND(AJ24="SI",AK24='Insumos y gastos'!$R$6),AL24+('Insumos y gastos'!$S$15*AI24*2),IF(AND(AJ24="NO",AK24='Insumos y gastos'!$R$6),Productos!AL24+('Insumos y gastos'!$S$15*Productos!AI24),IF(AND(AJ24="SI",AK24='Insumos y gastos'!$T$6),AL24+('Insumos y gastos'!$U$15*AI24*2),IF(AND(AJ24="NO",AK24='Insumos y gastos'!$T$6),Productos!AL24+('Insumos y gastos'!$U$15*Productos!AI24),0))))))))))))</f>
        <v>0</v>
      </c>
      <c r="AN24" s="79"/>
      <c r="AO24" s="84">
        <f>IFERROR(VLOOKUP(AN24,Tabla1[[#All],[Nombre insumo]:[Pr. Unidad]],4,0),0)</f>
        <v>0</v>
      </c>
      <c r="AP24" s="11"/>
      <c r="AQ24" s="84">
        <f>IF(Tabla3[[#This Row],[Costo insumo 1]]&gt;0,Tabla3[[#This Row],[Cantidad insumo 1]]*Tabla3[[#This Row],[Costo insumo 1]],0)</f>
        <v>0</v>
      </c>
      <c r="AR24" s="79"/>
      <c r="AS24" s="84">
        <f>IFERROR(VLOOKUP(AR24,Tabla1[[#All],[Nombre insumo]:[Pr. Unidad]],4,0),0)</f>
        <v>0</v>
      </c>
      <c r="AT24" s="11"/>
      <c r="AU24" s="84">
        <f>IF(Tabla3[[#This Row],[Costo insumo 2]]&gt;0,Tabla3[[#This Row],[Cantidad insumo 2]]*Tabla3[[#This Row],[Costo insumo 2]],0)</f>
        <v>0</v>
      </c>
      <c r="AV24" s="79"/>
      <c r="AW24" s="84">
        <f>IFERROR(VLOOKUP(AV24,Tabla1[[#All],[Nombre insumo]:[Pr. Unidad]],4,0),0)</f>
        <v>0</v>
      </c>
      <c r="AX24" s="11"/>
      <c r="AY24" s="84">
        <f>IF(Tabla3[[#This Row],[Costo insumo 3]]&gt;0,Tabla3[[#This Row],[Cantidad insumo 3]]*Tabla3[[#This Row],[Costo insumo 3]],0)</f>
        <v>0</v>
      </c>
      <c r="AZ24" s="79"/>
      <c r="BA24" s="84">
        <f>IFERROR(VLOOKUP(AZ24,Tabla1[[#All],[Nombre insumo]:[Pr. Unidad]],4,0),0)</f>
        <v>0</v>
      </c>
      <c r="BB24" s="11"/>
      <c r="BC24" s="85">
        <f>IF(Tabla3[[#This Row],[Costo insumo 4]]&gt;0,Tabla3[[#This Row],[Cantidad insumo 4]]*Tabla3[[#This Row],[Costo insumo 4]],0)</f>
        <v>0</v>
      </c>
      <c r="BD24" s="11"/>
      <c r="BE24" s="84">
        <f>IFERROR(VLOOKUP(BD24,Tabla1[[#All],[Nombre insumo]:[Pr. Unidad]],4,0),0)</f>
        <v>0</v>
      </c>
      <c r="BF24" s="11"/>
      <c r="BG24" s="85">
        <f>IF(Tabla3[[#This Row],[Costo insumo 5]]&gt;0,Tabla3[[#This Row],[Cantidad insumo 5]]*Tabla3[[#This Row],[Costo insumo 5]],0)</f>
        <v>0</v>
      </c>
      <c r="BH24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24" s="11"/>
      <c r="BJ24" s="87">
        <f>BI24*'Insumos y gastos'!$M$50</f>
        <v>0</v>
      </c>
      <c r="BK24" s="87">
        <f>BI24*'Insumos y gastos'!$Q$24</f>
        <v>0</v>
      </c>
      <c r="BL24" s="87">
        <f>Tabla3[[#This Row],[Costo sin servicios]]+Tabla3[[#This Row],[Costo servicios]]+Tabla3[[#This Row],[Costo mano de obra]]</f>
        <v>0</v>
      </c>
    </row>
    <row r="25" spans="1:64" ht="20.100000000000001" customHeight="1" x14ac:dyDescent="0.25">
      <c r="A25" s="11">
        <v>10023</v>
      </c>
      <c r="B25" s="95"/>
      <c r="C25" s="11"/>
      <c r="D25" s="80"/>
      <c r="E25" s="11"/>
      <c r="F25" s="83">
        <f>IFERROR(VLOOKUP(E25,Tabla1[[#All],[Nombre insumo]:[Pr. Unidad]],4,0),0)</f>
        <v>0</v>
      </c>
      <c r="G25" s="11"/>
      <c r="H25" s="11"/>
      <c r="I25" s="11"/>
      <c r="J25" s="83">
        <f t="shared" si="4"/>
        <v>0</v>
      </c>
      <c r="K25" s="81">
        <f>IF(AND(H25="SI",I25='Insumos y gastos'!$J$6),J25+('Insumos y gastos'!$K$15*G25*2),IF(AND(H25="NO",I25='Insumos y gastos'!$J$6),Productos!J25+('Insumos y gastos'!$K$15*Productos!G25),IF(AND(H25="SI",I25='Insumos y gastos'!$L$6),J25+('Insumos y gastos'!$M$15*G25*2),IF(AND(H25="NO",I25='Insumos y gastos'!$L$6),Productos!J25+('Insumos y gastos'!$M$15*Productos!G25),IF(AND(H25="SI",I25='Insumos y gastos'!$N$6),J25+('Insumos y gastos'!$O$15*G25*2),IF(AND(H25="NO",I25='Insumos y gastos'!$N$6),Productos!J25+('Insumos y gastos'!$O$15*Productos!G25),IF(AND(H25="SI",I25='Insumos y gastos'!$P$6),J25+('Insumos y gastos'!$Q$15*G25*2),IF(AND(H25="NO",I25='Insumos y gastos'!$P$6),Productos!J25+('Insumos y gastos'!$Q$15*Productos!G25),IF(AND(H25="SI",I25='Insumos y gastos'!$R$6),J25+('Insumos y gastos'!$S$15*G25*2),IF(AND(H25="NO",I25='Insumos y gastos'!$R$6),Productos!J25+('Insumos y gastos'!$S$15*Productos!G25),IF(AND(H25="SI",I25='Insumos y gastos'!$T$6),J25+('Insumos y gastos'!$U$15*G25*2),IF(AND(H25="NO",I25='Insumos y gastos'!$T$6),Productos!J25+('Insumos y gastos'!$U$15*Productos!G25),0))))))))))))</f>
        <v>0</v>
      </c>
      <c r="L25" s="11"/>
      <c r="M25" s="83">
        <f>IFERROR(VLOOKUP(L25,Tabla1[[#All],[Nombre insumo]:[Pr. Unidad]],4,0),0)</f>
        <v>0</v>
      </c>
      <c r="N25" s="11"/>
      <c r="O25" s="11"/>
      <c r="P25" s="11"/>
      <c r="Q25" s="83">
        <f t="shared" si="5"/>
        <v>0</v>
      </c>
      <c r="R25" s="83">
        <f>IF(AND(O25="SI",P25='Insumos y gastos'!$J$6),Q25+('Insumos y gastos'!$K$15*N25*2),IF(AND(O25="NO",P25='Insumos y gastos'!$J$6),Productos!Q25+('Insumos y gastos'!$K$15*Productos!N25),IF(AND(O25="SI",P25='Insumos y gastos'!$L$6),Q25+('Insumos y gastos'!$M$15*N25*2),IF(AND(O25="NO",P25='Insumos y gastos'!$L$6),Productos!Q25+('Insumos y gastos'!$M$15*Productos!N25),IF(AND(O25="SI",P25='Insumos y gastos'!$N$6),Q25+('Insumos y gastos'!$O$15*N25*2),IF(AND(O25="NO",P25='Insumos y gastos'!$N$6),Productos!Q25+('Insumos y gastos'!$O$15*Productos!N25),IF(AND(O25="SI",P25='Insumos y gastos'!$P$6),Q25+('Insumos y gastos'!$Q$15*N25*2),IF(AND(O25="NO",P25='Insumos y gastos'!$P$6),Productos!Q25+('Insumos y gastos'!$Q$15*Productos!N25),IF(AND(O25="SI",P25='Insumos y gastos'!$R$6),Q25+('Insumos y gastos'!$S$15*N25*2),IF(AND(O25="NO",P25='Insumos y gastos'!$R$6),Productos!Q25+('Insumos y gastos'!$S$15*Productos!N25),IF(AND(O25="SI",P25='Insumos y gastos'!$T$6),Q25+('Insumos y gastos'!$U$15*N25*2),IF(AND(O25="NO",P25='Insumos y gastos'!$T$6),Productos!Q25+('Insumos y gastos'!$U$15*Productos!N25),0))))))))))))</f>
        <v>0</v>
      </c>
      <c r="S25" s="79"/>
      <c r="T25" s="83">
        <f>IFERROR(VLOOKUP(S25,Tabla1[[#All],[Nombre insumo]:[Pr. Unidad]],4,0),0)</f>
        <v>0</v>
      </c>
      <c r="U25" s="11"/>
      <c r="V25" s="11"/>
      <c r="W25" s="11"/>
      <c r="X25" s="83">
        <f t="shared" si="6"/>
        <v>0</v>
      </c>
      <c r="Y25" s="83">
        <f>IF(AND(V25="SI",W25='Insumos y gastos'!$J$6),X25+('Insumos y gastos'!$K$15*U25*2),IF(AND(V25="NO",W25='Insumos y gastos'!$J$6),Productos!X25+('Insumos y gastos'!$K$15*Productos!U25),IF(AND(V25="SI",W25='Insumos y gastos'!$L$6),X25+('Insumos y gastos'!$M$15*U25*2),IF(AND(V25="NO",W25='Insumos y gastos'!$L$6),Productos!X25+('Insumos y gastos'!$M$15*Productos!U25),IF(AND(V25="SI",W25='Insumos y gastos'!$N$6),X25+('Insumos y gastos'!$O$15*U25*2),IF(AND(V25="NO",W25='Insumos y gastos'!$N$6),Productos!X25+('Insumos y gastos'!$O$15*Productos!U25),IF(AND(V25="SI",W25='Insumos y gastos'!$P$6),X25+('Insumos y gastos'!$Q$15*U25*2),IF(AND(V25="NO",W25='Insumos y gastos'!$P$6),Productos!X25+('Insumos y gastos'!$Q$15*Productos!U25),IF(AND(V25="SI",W25='Insumos y gastos'!$R$6),X25+('Insumos y gastos'!$S$15*U25*2),IF(AND(V25="NO",W25='Insumos y gastos'!$R$6),Productos!X25+('Insumos y gastos'!$S$15*Productos!U25),IF(AND(V25="SI",W25='Insumos y gastos'!$T$6),X25+('Insumos y gastos'!$U$15*U25*2),IF(AND(V25="NO",W25='Insumos y gastos'!$T$6),Productos!X25+('Insumos y gastos'!$U$15*Productos!U25),0))))))))))))</f>
        <v>0</v>
      </c>
      <c r="Z25" s="79"/>
      <c r="AA25" s="83">
        <f>IFERROR(VLOOKUP(Z25,Tabla1[[#All],[Nombre insumo]:[Pr. Unidad]],4,0),0)</f>
        <v>0</v>
      </c>
      <c r="AB25" s="11"/>
      <c r="AC25" s="11"/>
      <c r="AD25" s="11"/>
      <c r="AE25" s="83">
        <f t="shared" si="7"/>
        <v>0</v>
      </c>
      <c r="AF25" s="83">
        <f>IF(AND(AC25="SI",AD25='Insumos y gastos'!$J$6),AE25+('Insumos y gastos'!$K$15*AB25*2),IF(AND(AC25="NO",AD25='Insumos y gastos'!$J$6),Productos!AE25+('Insumos y gastos'!$K$15*Productos!AB25),IF(AND(AC25="SI",AD25='Insumos y gastos'!$L$6),AE25+('Insumos y gastos'!$M$15*AB25*2),IF(AND(AC25="NO",AD25='Insumos y gastos'!$L$6),Productos!AE25+('Insumos y gastos'!$M$15*Productos!AB25),IF(AND(AC25="SI",AD25='Insumos y gastos'!$N$6),AE25+('Insumos y gastos'!$O$15*AB25*2),IF(AND(AC25="NO",AD25='Insumos y gastos'!$N$6),Productos!AE25+('Insumos y gastos'!$O$15*Productos!AB25),IF(AND(AC25="SI",AD25='Insumos y gastos'!$P$6),AE25+('Insumos y gastos'!$Q$15*AB25*2),IF(AND(AC25="NO",AD25='Insumos y gastos'!$P$6),Productos!AE25+('Insumos y gastos'!$Q$15*Productos!AB25),IF(AND(AC25="SI",AD25='Insumos y gastos'!$R$6),AE25+('Insumos y gastos'!$S$15*AB25*2),IF(AND(AC25="NO",AD25='Insumos y gastos'!$R$6),Productos!AE25+('Insumos y gastos'!$S$15*Productos!AB25),IF(AND(AC25="SI",AD25='Insumos y gastos'!$T$6),AE25+('Insumos y gastos'!$U$15*AB25*2),IF(AND(AC25="NO",AD25='Insumos y gastos'!$T$6),Productos!AE25+('Insumos y gastos'!$U$15*Productos!AB25),0))))))))))))</f>
        <v>0</v>
      </c>
      <c r="AG25" s="79"/>
      <c r="AH25" s="83">
        <f>IFERROR(VLOOKUP(AG25,Tabla1[[#All],[Nombre insumo]:[Pr. Unidad]],4,0),0)</f>
        <v>0</v>
      </c>
      <c r="AI25" s="11"/>
      <c r="AJ25" s="11"/>
      <c r="AK25" s="11"/>
      <c r="AL25" s="83">
        <f t="shared" si="8"/>
        <v>0</v>
      </c>
      <c r="AM25" s="83">
        <f>IF(AND(AJ25="SI",AK25='Insumos y gastos'!$J$6),AL25+('Insumos y gastos'!$K$15*AI25*2),IF(AND(AJ25="NO",AK25='Insumos y gastos'!$J$6),Productos!AL25+('Insumos y gastos'!$K$15*Productos!AI25),IF(AND(AJ25="SI",AK25='Insumos y gastos'!$L$6),AL25+('Insumos y gastos'!$M$15*AI25*2),IF(AND(AJ25="NO",AK25='Insumos y gastos'!$L$6),Productos!AL25+('Insumos y gastos'!$M$15*Productos!AI25),IF(AND(AJ25="SI",AK25='Insumos y gastos'!$N$6),AL25+('Insumos y gastos'!$O$15*AI25*2),IF(AND(AJ25="NO",AK25='Insumos y gastos'!$N$6),Productos!AL25+('Insumos y gastos'!$O$15*Productos!AI25),IF(AND(AJ25="SI",AK25='Insumos y gastos'!$P$6),AL25+('Insumos y gastos'!$Q$15*AI25*2),IF(AND(AJ25="NO",AK25='Insumos y gastos'!$P$6),Productos!AL25+('Insumos y gastos'!$Q$15*Productos!AI25),IF(AND(AJ25="SI",AK25='Insumos y gastos'!$R$6),AL25+('Insumos y gastos'!$S$15*AI25*2),IF(AND(AJ25="NO",AK25='Insumos y gastos'!$R$6),Productos!AL25+('Insumos y gastos'!$S$15*Productos!AI25),IF(AND(AJ25="SI",AK25='Insumos y gastos'!$T$6),AL25+('Insumos y gastos'!$U$15*AI25*2),IF(AND(AJ25="NO",AK25='Insumos y gastos'!$T$6),Productos!AL25+('Insumos y gastos'!$U$15*Productos!AI25),0))))))))))))</f>
        <v>0</v>
      </c>
      <c r="AN25" s="79"/>
      <c r="AO25" s="84">
        <f>IFERROR(VLOOKUP(AN25,Tabla1[[#All],[Nombre insumo]:[Pr. Unidad]],4,0),0)</f>
        <v>0</v>
      </c>
      <c r="AP25" s="11"/>
      <c r="AQ25" s="84">
        <f>IF(Tabla3[[#This Row],[Costo insumo 1]]&gt;0,Tabla3[[#This Row],[Cantidad insumo 1]]*Tabla3[[#This Row],[Costo insumo 1]],0)</f>
        <v>0</v>
      </c>
      <c r="AR25" s="79"/>
      <c r="AS25" s="84">
        <f>IFERROR(VLOOKUP(AR25,Tabla1[[#All],[Nombre insumo]:[Pr. Unidad]],4,0),0)</f>
        <v>0</v>
      </c>
      <c r="AT25" s="11"/>
      <c r="AU25" s="84">
        <f>IF(Tabla3[[#This Row],[Costo insumo 2]]&gt;0,Tabla3[[#This Row],[Cantidad insumo 2]]*Tabla3[[#This Row],[Costo insumo 2]],0)</f>
        <v>0</v>
      </c>
      <c r="AV25" s="79"/>
      <c r="AW25" s="84">
        <f>IFERROR(VLOOKUP(AV25,Tabla1[[#All],[Nombre insumo]:[Pr. Unidad]],4,0),0)</f>
        <v>0</v>
      </c>
      <c r="AX25" s="11"/>
      <c r="AY25" s="84">
        <f>IF(Tabla3[[#This Row],[Costo insumo 3]]&gt;0,Tabla3[[#This Row],[Cantidad insumo 3]]*Tabla3[[#This Row],[Costo insumo 3]],0)</f>
        <v>0</v>
      </c>
      <c r="AZ25" s="79"/>
      <c r="BA25" s="84">
        <f>IFERROR(VLOOKUP(AZ25,Tabla1[[#All],[Nombre insumo]:[Pr. Unidad]],4,0),0)</f>
        <v>0</v>
      </c>
      <c r="BB25" s="11"/>
      <c r="BC25" s="85">
        <f>IF(Tabla3[[#This Row],[Costo insumo 4]]&gt;0,Tabla3[[#This Row],[Cantidad insumo 4]]*Tabla3[[#This Row],[Costo insumo 4]],0)</f>
        <v>0</v>
      </c>
      <c r="BD25" s="11"/>
      <c r="BE25" s="84">
        <f>IFERROR(VLOOKUP(BD25,Tabla1[[#All],[Nombre insumo]:[Pr. Unidad]],4,0),0)</f>
        <v>0</v>
      </c>
      <c r="BF25" s="11"/>
      <c r="BG25" s="85">
        <f>IF(Tabla3[[#This Row],[Costo insumo 5]]&gt;0,Tabla3[[#This Row],[Cantidad insumo 5]]*Tabla3[[#This Row],[Costo insumo 5]],0)</f>
        <v>0</v>
      </c>
      <c r="BH25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25" s="11"/>
      <c r="BJ25" s="87">
        <f>BI25*'Insumos y gastos'!$M$50</f>
        <v>0</v>
      </c>
      <c r="BK25" s="87">
        <f>BI25*'Insumos y gastos'!$Q$24</f>
        <v>0</v>
      </c>
      <c r="BL25" s="87">
        <f>Tabla3[[#This Row],[Costo sin servicios]]+Tabla3[[#This Row],[Costo servicios]]+Tabla3[[#This Row],[Costo mano de obra]]</f>
        <v>0</v>
      </c>
    </row>
    <row r="26" spans="1:64" ht="20.100000000000001" customHeight="1" x14ac:dyDescent="0.25">
      <c r="A26" s="11">
        <v>10024</v>
      </c>
      <c r="B26" s="95"/>
      <c r="C26" s="11"/>
      <c r="D26" s="80"/>
      <c r="E26" s="11"/>
      <c r="F26" s="83">
        <f>IFERROR(VLOOKUP(E26,Tabla1[[#All],[Nombre insumo]:[Pr. Unidad]],4,0),0)</f>
        <v>0</v>
      </c>
      <c r="G26" s="11"/>
      <c r="H26" s="11"/>
      <c r="I26" s="11"/>
      <c r="J26" s="83">
        <f t="shared" si="4"/>
        <v>0</v>
      </c>
      <c r="K26" s="81">
        <f>IF(AND(H26="SI",I26='Insumos y gastos'!$J$6),J26+('Insumos y gastos'!$K$15*G26*2),IF(AND(H26="NO",I26='Insumos y gastos'!$J$6),Productos!J26+('Insumos y gastos'!$K$15*Productos!G26),IF(AND(H26="SI",I26='Insumos y gastos'!$L$6),J26+('Insumos y gastos'!$M$15*G26*2),IF(AND(H26="NO",I26='Insumos y gastos'!$L$6),Productos!J26+('Insumos y gastos'!$M$15*Productos!G26),IF(AND(H26="SI",I26='Insumos y gastos'!$N$6),J26+('Insumos y gastos'!$O$15*G26*2),IF(AND(H26="NO",I26='Insumos y gastos'!$N$6),Productos!J26+('Insumos y gastos'!$O$15*Productos!G26),IF(AND(H26="SI",I26='Insumos y gastos'!$P$6),J26+('Insumos y gastos'!$Q$15*G26*2),IF(AND(H26="NO",I26='Insumos y gastos'!$P$6),Productos!J26+('Insumos y gastos'!$Q$15*Productos!G26),IF(AND(H26="SI",I26='Insumos y gastos'!$R$6),J26+('Insumos y gastos'!$S$15*G26*2),IF(AND(H26="NO",I26='Insumos y gastos'!$R$6),Productos!J26+('Insumos y gastos'!$S$15*Productos!G26),IF(AND(H26="SI",I26='Insumos y gastos'!$T$6),J26+('Insumos y gastos'!$U$15*G26*2),IF(AND(H26="NO",I26='Insumos y gastos'!$T$6),Productos!J26+('Insumos y gastos'!$U$15*Productos!G26),0))))))))))))</f>
        <v>0</v>
      </c>
      <c r="L26" s="11"/>
      <c r="M26" s="83">
        <f>IFERROR(VLOOKUP(L26,Tabla1[[#All],[Nombre insumo]:[Pr. Unidad]],4,0),0)</f>
        <v>0</v>
      </c>
      <c r="N26" s="11"/>
      <c r="O26" s="11"/>
      <c r="P26" s="11"/>
      <c r="Q26" s="83">
        <f t="shared" si="5"/>
        <v>0</v>
      </c>
      <c r="R26" s="83">
        <f>IF(AND(O26="SI",P26='Insumos y gastos'!$J$6),Q26+('Insumos y gastos'!$K$15*N26*2),IF(AND(O26="NO",P26='Insumos y gastos'!$J$6),Productos!Q26+('Insumos y gastos'!$K$15*Productos!N26),IF(AND(O26="SI",P26='Insumos y gastos'!$L$6),Q26+('Insumos y gastos'!$M$15*N26*2),IF(AND(O26="NO",P26='Insumos y gastos'!$L$6),Productos!Q26+('Insumos y gastos'!$M$15*Productos!N26),IF(AND(O26="SI",P26='Insumos y gastos'!$N$6),Q26+('Insumos y gastos'!$O$15*N26*2),IF(AND(O26="NO",P26='Insumos y gastos'!$N$6),Productos!Q26+('Insumos y gastos'!$O$15*Productos!N26),IF(AND(O26="SI",P26='Insumos y gastos'!$P$6),Q26+('Insumos y gastos'!$Q$15*N26*2),IF(AND(O26="NO",P26='Insumos y gastos'!$P$6),Productos!Q26+('Insumos y gastos'!$Q$15*Productos!N26),IF(AND(O26="SI",P26='Insumos y gastos'!$R$6),Q26+('Insumos y gastos'!$S$15*N26*2),IF(AND(O26="NO",P26='Insumos y gastos'!$R$6),Productos!Q26+('Insumos y gastos'!$S$15*Productos!N26),IF(AND(O26="SI",P26='Insumos y gastos'!$T$6),Q26+('Insumos y gastos'!$U$15*N26*2),IF(AND(O26="NO",P26='Insumos y gastos'!$T$6),Productos!Q26+('Insumos y gastos'!$U$15*Productos!N26),0))))))))))))</f>
        <v>0</v>
      </c>
      <c r="S26" s="79"/>
      <c r="T26" s="83">
        <f>IFERROR(VLOOKUP(S26,Tabla1[[#All],[Nombre insumo]:[Pr. Unidad]],4,0),0)</f>
        <v>0</v>
      </c>
      <c r="U26" s="11"/>
      <c r="V26" s="11"/>
      <c r="W26" s="11"/>
      <c r="X26" s="83">
        <f t="shared" si="6"/>
        <v>0</v>
      </c>
      <c r="Y26" s="83">
        <f>IF(AND(V26="SI",W26='Insumos y gastos'!$J$6),X26+('Insumos y gastos'!$K$15*U26*2),IF(AND(V26="NO",W26='Insumos y gastos'!$J$6),Productos!X26+('Insumos y gastos'!$K$15*Productos!U26),IF(AND(V26="SI",W26='Insumos y gastos'!$L$6),X26+('Insumos y gastos'!$M$15*U26*2),IF(AND(V26="NO",W26='Insumos y gastos'!$L$6),Productos!X26+('Insumos y gastos'!$M$15*Productos!U26),IF(AND(V26="SI",W26='Insumos y gastos'!$N$6),X26+('Insumos y gastos'!$O$15*U26*2),IF(AND(V26="NO",W26='Insumos y gastos'!$N$6),Productos!X26+('Insumos y gastos'!$O$15*Productos!U26),IF(AND(V26="SI",W26='Insumos y gastos'!$P$6),X26+('Insumos y gastos'!$Q$15*U26*2),IF(AND(V26="NO",W26='Insumos y gastos'!$P$6),Productos!X26+('Insumos y gastos'!$Q$15*Productos!U26),IF(AND(V26="SI",W26='Insumos y gastos'!$R$6),X26+('Insumos y gastos'!$S$15*U26*2),IF(AND(V26="NO",W26='Insumos y gastos'!$R$6),Productos!X26+('Insumos y gastos'!$S$15*Productos!U26),IF(AND(V26="SI",W26='Insumos y gastos'!$T$6),X26+('Insumos y gastos'!$U$15*U26*2),IF(AND(V26="NO",W26='Insumos y gastos'!$T$6),Productos!X26+('Insumos y gastos'!$U$15*Productos!U26),0))))))))))))</f>
        <v>0</v>
      </c>
      <c r="Z26" s="79"/>
      <c r="AA26" s="83">
        <f>IFERROR(VLOOKUP(Z26,Tabla1[[#All],[Nombre insumo]:[Pr. Unidad]],4,0),0)</f>
        <v>0</v>
      </c>
      <c r="AB26" s="11"/>
      <c r="AC26" s="11"/>
      <c r="AD26" s="11"/>
      <c r="AE26" s="83">
        <f t="shared" si="7"/>
        <v>0</v>
      </c>
      <c r="AF26" s="83">
        <f>IF(AND(AC26="SI",AD26='Insumos y gastos'!$J$6),AE26+('Insumos y gastos'!$K$15*AB26*2),IF(AND(AC26="NO",AD26='Insumos y gastos'!$J$6),Productos!AE26+('Insumos y gastos'!$K$15*Productos!AB26),IF(AND(AC26="SI",AD26='Insumos y gastos'!$L$6),AE26+('Insumos y gastos'!$M$15*AB26*2),IF(AND(AC26="NO",AD26='Insumos y gastos'!$L$6),Productos!AE26+('Insumos y gastos'!$M$15*Productos!AB26),IF(AND(AC26="SI",AD26='Insumos y gastos'!$N$6),AE26+('Insumos y gastos'!$O$15*AB26*2),IF(AND(AC26="NO",AD26='Insumos y gastos'!$N$6),Productos!AE26+('Insumos y gastos'!$O$15*Productos!AB26),IF(AND(AC26="SI",AD26='Insumos y gastos'!$P$6),AE26+('Insumos y gastos'!$Q$15*AB26*2),IF(AND(AC26="NO",AD26='Insumos y gastos'!$P$6),Productos!AE26+('Insumos y gastos'!$Q$15*Productos!AB26),IF(AND(AC26="SI",AD26='Insumos y gastos'!$R$6),AE26+('Insumos y gastos'!$S$15*AB26*2),IF(AND(AC26="NO",AD26='Insumos y gastos'!$R$6),Productos!AE26+('Insumos y gastos'!$S$15*Productos!AB26),IF(AND(AC26="SI",AD26='Insumos y gastos'!$T$6),AE26+('Insumos y gastos'!$U$15*AB26*2),IF(AND(AC26="NO",AD26='Insumos y gastos'!$T$6),Productos!AE26+('Insumos y gastos'!$U$15*Productos!AB26),0))))))))))))</f>
        <v>0</v>
      </c>
      <c r="AG26" s="79"/>
      <c r="AH26" s="83">
        <f>IFERROR(VLOOKUP(AG26,Tabla1[[#All],[Nombre insumo]:[Pr. Unidad]],4,0),0)</f>
        <v>0</v>
      </c>
      <c r="AI26" s="11"/>
      <c r="AJ26" s="11"/>
      <c r="AK26" s="11"/>
      <c r="AL26" s="83">
        <f t="shared" si="8"/>
        <v>0</v>
      </c>
      <c r="AM26" s="83">
        <f>IF(AND(AJ26="SI",AK26='Insumos y gastos'!$J$6),AL26+('Insumos y gastos'!$K$15*AI26*2),IF(AND(AJ26="NO",AK26='Insumos y gastos'!$J$6),Productos!AL26+('Insumos y gastos'!$K$15*Productos!AI26),IF(AND(AJ26="SI",AK26='Insumos y gastos'!$L$6),AL26+('Insumos y gastos'!$M$15*AI26*2),IF(AND(AJ26="NO",AK26='Insumos y gastos'!$L$6),Productos!AL26+('Insumos y gastos'!$M$15*Productos!AI26),IF(AND(AJ26="SI",AK26='Insumos y gastos'!$N$6),AL26+('Insumos y gastos'!$O$15*AI26*2),IF(AND(AJ26="NO",AK26='Insumos y gastos'!$N$6),Productos!AL26+('Insumos y gastos'!$O$15*Productos!AI26),IF(AND(AJ26="SI",AK26='Insumos y gastos'!$P$6),AL26+('Insumos y gastos'!$Q$15*AI26*2),IF(AND(AJ26="NO",AK26='Insumos y gastos'!$P$6),Productos!AL26+('Insumos y gastos'!$Q$15*Productos!AI26),IF(AND(AJ26="SI",AK26='Insumos y gastos'!$R$6),AL26+('Insumos y gastos'!$S$15*AI26*2),IF(AND(AJ26="NO",AK26='Insumos y gastos'!$R$6),Productos!AL26+('Insumos y gastos'!$S$15*Productos!AI26),IF(AND(AJ26="SI",AK26='Insumos y gastos'!$T$6),AL26+('Insumos y gastos'!$U$15*AI26*2),IF(AND(AJ26="NO",AK26='Insumos y gastos'!$T$6),Productos!AL26+('Insumos y gastos'!$U$15*Productos!AI26),0))))))))))))</f>
        <v>0</v>
      </c>
      <c r="AN26" s="79"/>
      <c r="AO26" s="84">
        <f>IFERROR(VLOOKUP(AN26,Tabla1[[#All],[Nombre insumo]:[Pr. Unidad]],4,0),0)</f>
        <v>0</v>
      </c>
      <c r="AP26" s="11"/>
      <c r="AQ26" s="84">
        <f>IF(Tabla3[[#This Row],[Costo insumo 1]]&gt;0,Tabla3[[#This Row],[Cantidad insumo 1]]*Tabla3[[#This Row],[Costo insumo 1]],0)</f>
        <v>0</v>
      </c>
      <c r="AR26" s="79"/>
      <c r="AS26" s="84">
        <f>IFERROR(VLOOKUP(AR26,Tabla1[[#All],[Nombre insumo]:[Pr. Unidad]],4,0),0)</f>
        <v>0</v>
      </c>
      <c r="AT26" s="11"/>
      <c r="AU26" s="84">
        <f>IF(Tabla3[[#This Row],[Costo insumo 2]]&gt;0,Tabla3[[#This Row],[Cantidad insumo 2]]*Tabla3[[#This Row],[Costo insumo 2]],0)</f>
        <v>0</v>
      </c>
      <c r="AV26" s="79"/>
      <c r="AW26" s="84">
        <f>IFERROR(VLOOKUP(AV26,Tabla1[[#All],[Nombre insumo]:[Pr. Unidad]],4,0),0)</f>
        <v>0</v>
      </c>
      <c r="AX26" s="11"/>
      <c r="AY26" s="84">
        <f>IF(Tabla3[[#This Row],[Costo insumo 3]]&gt;0,Tabla3[[#This Row],[Cantidad insumo 3]]*Tabla3[[#This Row],[Costo insumo 3]],0)</f>
        <v>0</v>
      </c>
      <c r="AZ26" s="79"/>
      <c r="BA26" s="84">
        <f>IFERROR(VLOOKUP(AZ26,Tabla1[[#All],[Nombre insumo]:[Pr. Unidad]],4,0),0)</f>
        <v>0</v>
      </c>
      <c r="BB26" s="11"/>
      <c r="BC26" s="85">
        <f>IF(Tabla3[[#This Row],[Costo insumo 4]]&gt;0,Tabla3[[#This Row],[Cantidad insumo 4]]*Tabla3[[#This Row],[Costo insumo 4]],0)</f>
        <v>0</v>
      </c>
      <c r="BD26" s="11"/>
      <c r="BE26" s="84">
        <f>IFERROR(VLOOKUP(BD26,Tabla1[[#All],[Nombre insumo]:[Pr. Unidad]],4,0),0)</f>
        <v>0</v>
      </c>
      <c r="BF26" s="11"/>
      <c r="BG26" s="85">
        <f>IF(Tabla3[[#This Row],[Costo insumo 5]]&gt;0,Tabla3[[#This Row],[Cantidad insumo 5]]*Tabla3[[#This Row],[Costo insumo 5]],0)</f>
        <v>0</v>
      </c>
      <c r="BH26" s="87">
        <f>Tabla3[[#This Row],[Subtotal impresión 1]]+Tabla3[[#This Row],[Subtotal impresión 2]]+Tabla3[[#This Row],[Subtotal impresión 3]]+Tabla3[[#This Row],[Subtotal impresión 4]]+Tabla3[[#This Row],[Subtotal impresión 5]]+Tabla3[[#This Row],[Subtotal insumos 1]]+Tabla3[[#This Row],[Subtotal insumos 2]]+Tabla3[[#This Row],[Subtotal insumos 3]]+Tabla3[[#This Row],[Subtotal insumos 4]]+Tabla3[[#This Row],[Subtotal insumos 5]]</f>
        <v>0</v>
      </c>
      <c r="BI26" s="11"/>
      <c r="BJ26" s="87">
        <f>BI26*'Insumos y gastos'!$M$50</f>
        <v>0</v>
      </c>
      <c r="BK26" s="87">
        <f>BI26*'Insumos y gastos'!$Q$24</f>
        <v>0</v>
      </c>
      <c r="BL26" s="87">
        <f>Tabla3[[#This Row],[Costo sin servicios]]+Tabla3[[#This Row],[Costo servicios]]+Tabla3[[#This Row],[Costo mano de obra]]</f>
        <v>0</v>
      </c>
    </row>
  </sheetData>
  <mergeCells count="4">
    <mergeCell ref="E1:AM1"/>
    <mergeCell ref="AN1:BG1"/>
    <mergeCell ref="A1:D1"/>
    <mergeCell ref="BH1:BL1"/>
  </mergeCells>
  <phoneticPr fontId="19" type="noConversion"/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A4F8AE4-20FF-4D69-BC8B-11073F3CBBD5}">
          <x14:formula1>
            <xm:f>'Insumos y gastos'!$E$14:$E$66</xm:f>
          </x14:formula1>
          <xm:sqref>E3:E26 L3:L26 S3:S26 Z3:Z26 AG3:AG26 AN3:AN26 AR3:AR26 AV3:AV26 AZ3:AZ26 BD3:BD26</xm:sqref>
        </x14:dataValidation>
        <x14:dataValidation type="list" allowBlank="1" showInputMessage="1" showErrorMessage="1" xr:uid="{750D20A6-EE89-40C9-8C47-989988E9E9A6}">
          <x14:formula1>
            <xm:f>'Calculadora de costos'!$A$6:$A$7</xm:f>
          </x14:formula1>
          <xm:sqref>H3:H26 O3:O26 V3:V26 AC3:AC26 AJ3:AJ26</xm:sqref>
        </x14:dataValidation>
        <x14:dataValidation type="list" allowBlank="1" showInputMessage="1" showErrorMessage="1" xr:uid="{94830B00-3C07-4062-84C6-D98193FBF759}">
          <x14:formula1>
            <xm:f>'Insumos y gastos'!$J$6:$U$6</xm:f>
          </x14:formula1>
          <xm:sqref>I3:I26 P3:P26 W3:W26 AD3:AD26 AK3:AK26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BABF-386F-4F8C-9E99-0EDAFD82AEFF}">
  <sheetPr>
    <tabColor theme="8" tint="0.59999389629810485"/>
  </sheetPr>
  <dimension ref="B7:J35"/>
  <sheetViews>
    <sheetView showGridLines="0" zoomScale="80" zoomScaleNormal="80" workbookViewId="0">
      <selection activeCell="O19" sqref="O19"/>
    </sheetView>
  </sheetViews>
  <sheetFormatPr baseColWidth="10" defaultRowHeight="15" x14ac:dyDescent="0.25"/>
  <cols>
    <col min="1" max="1" width="2.7109375" customWidth="1"/>
    <col min="2" max="2" width="10.5703125" style="3" bestFit="1" customWidth="1"/>
    <col min="3" max="3" width="33.7109375" bestFit="1" customWidth="1"/>
    <col min="4" max="4" width="13.5703125" style="3" bestFit="1" customWidth="1"/>
    <col min="5" max="5" width="17.28515625" style="3" bestFit="1" customWidth="1"/>
    <col min="6" max="6" width="11.7109375" style="3" bestFit="1" customWidth="1"/>
    <col min="7" max="7" width="11.42578125" style="96" bestFit="1" customWidth="1"/>
    <col min="8" max="8" width="16.28515625" style="6" bestFit="1" customWidth="1"/>
    <col min="9" max="9" width="13" style="6" bestFit="1" customWidth="1"/>
    <col min="10" max="10" width="11.42578125" style="6"/>
  </cols>
  <sheetData>
    <row r="7" spans="2:10" x14ac:dyDescent="0.25">
      <c r="B7" s="123" t="s">
        <v>138</v>
      </c>
      <c r="C7" s="123"/>
      <c r="D7" s="123"/>
      <c r="E7" s="123"/>
      <c r="F7" s="123"/>
      <c r="G7" s="123"/>
      <c r="H7" s="123"/>
      <c r="I7" s="123"/>
      <c r="J7" s="123"/>
    </row>
    <row r="8" spans="2:10" x14ac:dyDescent="0.25">
      <c r="B8" s="123"/>
      <c r="C8" s="123"/>
      <c r="D8" s="123"/>
      <c r="E8" s="123"/>
      <c r="F8" s="123"/>
      <c r="G8" s="123"/>
      <c r="H8" s="123"/>
      <c r="I8" s="123"/>
      <c r="J8" s="123"/>
    </row>
    <row r="9" spans="2:10" x14ac:dyDescent="0.25">
      <c r="B9" s="123"/>
      <c r="C9" s="123"/>
      <c r="D9" s="123"/>
      <c r="E9" s="123"/>
      <c r="F9" s="123"/>
      <c r="G9" s="123"/>
      <c r="H9" s="123"/>
      <c r="I9" s="123"/>
      <c r="J9" s="123"/>
    </row>
    <row r="10" spans="2:10" ht="27.75" customHeight="1" x14ac:dyDescent="0.25">
      <c r="B10" s="124" t="s">
        <v>139</v>
      </c>
      <c r="C10" s="124"/>
      <c r="D10" s="124"/>
      <c r="E10" s="124"/>
      <c r="F10" s="124"/>
      <c r="G10" s="124"/>
      <c r="H10" s="124"/>
      <c r="I10" s="124"/>
      <c r="J10" s="124"/>
    </row>
    <row r="11" spans="2:10" ht="33" customHeight="1" x14ac:dyDescent="0.25">
      <c r="B11" s="97" t="s">
        <v>69</v>
      </c>
      <c r="C11" s="97" t="s">
        <v>70</v>
      </c>
      <c r="D11" s="97" t="s">
        <v>71</v>
      </c>
      <c r="E11" s="97" t="s">
        <v>72</v>
      </c>
      <c r="F11" s="11" t="s">
        <v>135</v>
      </c>
      <c r="G11" s="99" t="s">
        <v>136</v>
      </c>
      <c r="H11" s="98" t="s">
        <v>26</v>
      </c>
      <c r="I11" s="98" t="s">
        <v>137</v>
      </c>
      <c r="J11" s="98" t="s">
        <v>133</v>
      </c>
    </row>
    <row r="12" spans="2:10" x14ac:dyDescent="0.25">
      <c r="B12" s="3">
        <v>10001</v>
      </c>
      <c r="C12" t="s">
        <v>132</v>
      </c>
      <c r="D12" s="135" t="s">
        <v>132</v>
      </c>
      <c r="E12" s="135" t="s">
        <v>132</v>
      </c>
      <c r="F12" s="136">
        <v>0</v>
      </c>
      <c r="G12" s="100"/>
      <c r="H12" s="136">
        <f>G12*F12</f>
        <v>0</v>
      </c>
      <c r="I12" s="134"/>
      <c r="J12" s="136">
        <f>I12-F12</f>
        <v>0</v>
      </c>
    </row>
    <row r="13" spans="2:10" x14ac:dyDescent="0.25">
      <c r="B13" s="3">
        <v>10002</v>
      </c>
      <c r="C13" t="s">
        <v>132</v>
      </c>
      <c r="D13" s="135" t="s">
        <v>132</v>
      </c>
      <c r="E13" s="135" t="s">
        <v>132</v>
      </c>
      <c r="F13" s="136">
        <v>0</v>
      </c>
      <c r="G13" s="100"/>
      <c r="H13" s="136">
        <f t="shared" ref="H13:H35" si="0">G13*F13</f>
        <v>0</v>
      </c>
      <c r="I13" s="134"/>
      <c r="J13" s="136">
        <f t="shared" ref="J13:J35" si="1">I13-F13</f>
        <v>0</v>
      </c>
    </row>
    <row r="14" spans="2:10" x14ac:dyDescent="0.25">
      <c r="B14" s="3">
        <v>10003</v>
      </c>
      <c r="C14" t="s">
        <v>132</v>
      </c>
      <c r="D14" s="135" t="s">
        <v>132</v>
      </c>
      <c r="E14" s="135" t="s">
        <v>132</v>
      </c>
      <c r="F14" s="136">
        <v>0</v>
      </c>
      <c r="G14" s="100"/>
      <c r="H14" s="136">
        <f t="shared" si="0"/>
        <v>0</v>
      </c>
      <c r="I14" s="134"/>
      <c r="J14" s="136">
        <f t="shared" si="1"/>
        <v>0</v>
      </c>
    </row>
    <row r="15" spans="2:10" x14ac:dyDescent="0.25">
      <c r="B15" s="3">
        <v>10004</v>
      </c>
      <c r="C15" t="s">
        <v>132</v>
      </c>
      <c r="D15" s="135" t="s">
        <v>132</v>
      </c>
      <c r="E15" s="135" t="s">
        <v>132</v>
      </c>
      <c r="F15" s="136">
        <v>0</v>
      </c>
      <c r="G15" s="100"/>
      <c r="H15" s="136">
        <f t="shared" si="0"/>
        <v>0</v>
      </c>
      <c r="I15" s="134"/>
      <c r="J15" s="136">
        <f t="shared" si="1"/>
        <v>0</v>
      </c>
    </row>
    <row r="16" spans="2:10" x14ac:dyDescent="0.25">
      <c r="B16" s="3">
        <v>10005</v>
      </c>
      <c r="C16" t="s">
        <v>132</v>
      </c>
      <c r="D16" s="135" t="s">
        <v>132</v>
      </c>
      <c r="E16" s="135" t="s">
        <v>132</v>
      </c>
      <c r="F16" s="136">
        <v>0</v>
      </c>
      <c r="G16" s="100"/>
      <c r="H16" s="136">
        <f t="shared" si="0"/>
        <v>0</v>
      </c>
      <c r="I16" s="134"/>
      <c r="J16" s="136">
        <f t="shared" si="1"/>
        <v>0</v>
      </c>
    </row>
    <row r="17" spans="2:10" x14ac:dyDescent="0.25">
      <c r="B17" s="3">
        <v>10006</v>
      </c>
      <c r="C17" t="s">
        <v>132</v>
      </c>
      <c r="D17" s="135" t="s">
        <v>132</v>
      </c>
      <c r="E17" s="135" t="s">
        <v>132</v>
      </c>
      <c r="F17" s="136">
        <v>0</v>
      </c>
      <c r="G17" s="100"/>
      <c r="H17" s="136">
        <f t="shared" si="0"/>
        <v>0</v>
      </c>
      <c r="I17" s="134"/>
      <c r="J17" s="136">
        <f t="shared" si="1"/>
        <v>0</v>
      </c>
    </row>
    <row r="18" spans="2:10" x14ac:dyDescent="0.25">
      <c r="B18" s="3">
        <v>10007</v>
      </c>
      <c r="C18" t="s">
        <v>132</v>
      </c>
      <c r="D18" s="135" t="s">
        <v>132</v>
      </c>
      <c r="E18" s="135" t="s">
        <v>132</v>
      </c>
      <c r="F18" s="136">
        <v>0</v>
      </c>
      <c r="G18" s="100"/>
      <c r="H18" s="136">
        <f t="shared" si="0"/>
        <v>0</v>
      </c>
      <c r="I18" s="134"/>
      <c r="J18" s="136">
        <f t="shared" si="1"/>
        <v>0</v>
      </c>
    </row>
    <row r="19" spans="2:10" x14ac:dyDescent="0.25">
      <c r="B19" s="3">
        <v>10008</v>
      </c>
      <c r="C19" t="s">
        <v>132</v>
      </c>
      <c r="D19" s="135" t="s">
        <v>132</v>
      </c>
      <c r="E19" s="135" t="s">
        <v>132</v>
      </c>
      <c r="F19" s="136">
        <v>0</v>
      </c>
      <c r="G19" s="100"/>
      <c r="H19" s="136">
        <f t="shared" si="0"/>
        <v>0</v>
      </c>
      <c r="I19" s="134"/>
      <c r="J19" s="136">
        <f t="shared" si="1"/>
        <v>0</v>
      </c>
    </row>
    <row r="20" spans="2:10" x14ac:dyDescent="0.25">
      <c r="B20" s="3">
        <v>10009</v>
      </c>
      <c r="C20" t="s">
        <v>132</v>
      </c>
      <c r="D20" s="135" t="s">
        <v>132</v>
      </c>
      <c r="E20" s="135" t="s">
        <v>132</v>
      </c>
      <c r="F20" s="136">
        <v>0</v>
      </c>
      <c r="G20" s="100"/>
      <c r="H20" s="136">
        <f t="shared" si="0"/>
        <v>0</v>
      </c>
      <c r="I20" s="134"/>
      <c r="J20" s="136">
        <f t="shared" si="1"/>
        <v>0</v>
      </c>
    </row>
    <row r="21" spans="2:10" x14ac:dyDescent="0.25">
      <c r="B21" s="3">
        <v>10010</v>
      </c>
      <c r="C21" t="s">
        <v>132</v>
      </c>
      <c r="D21" s="135" t="s">
        <v>132</v>
      </c>
      <c r="E21" s="135" t="s">
        <v>132</v>
      </c>
      <c r="F21" s="136">
        <v>0</v>
      </c>
      <c r="G21" s="100"/>
      <c r="H21" s="136">
        <f t="shared" si="0"/>
        <v>0</v>
      </c>
      <c r="I21" s="134"/>
      <c r="J21" s="136">
        <f t="shared" si="1"/>
        <v>0</v>
      </c>
    </row>
    <row r="22" spans="2:10" x14ac:dyDescent="0.25">
      <c r="B22" s="3">
        <v>10011</v>
      </c>
      <c r="C22" t="s">
        <v>132</v>
      </c>
      <c r="D22" s="135" t="s">
        <v>132</v>
      </c>
      <c r="E22" s="135" t="s">
        <v>132</v>
      </c>
      <c r="F22" s="136">
        <v>0</v>
      </c>
      <c r="G22" s="100"/>
      <c r="H22" s="136">
        <f t="shared" si="0"/>
        <v>0</v>
      </c>
      <c r="I22" s="134"/>
      <c r="J22" s="136">
        <f t="shared" si="1"/>
        <v>0</v>
      </c>
    </row>
    <row r="23" spans="2:10" x14ac:dyDescent="0.25">
      <c r="B23" s="3">
        <v>10012</v>
      </c>
      <c r="C23" t="s">
        <v>132</v>
      </c>
      <c r="D23" s="135" t="s">
        <v>132</v>
      </c>
      <c r="E23" s="135" t="s">
        <v>132</v>
      </c>
      <c r="F23" s="136">
        <v>0</v>
      </c>
      <c r="G23" s="100"/>
      <c r="H23" s="136">
        <f t="shared" si="0"/>
        <v>0</v>
      </c>
      <c r="I23" s="134"/>
      <c r="J23" s="136">
        <f t="shared" si="1"/>
        <v>0</v>
      </c>
    </row>
    <row r="24" spans="2:10" x14ac:dyDescent="0.25">
      <c r="B24" s="3">
        <v>10013</v>
      </c>
      <c r="C24" t="s">
        <v>132</v>
      </c>
      <c r="D24" s="135" t="s">
        <v>132</v>
      </c>
      <c r="E24" s="135" t="s">
        <v>132</v>
      </c>
      <c r="F24" s="136">
        <v>0</v>
      </c>
      <c r="G24" s="100"/>
      <c r="H24" s="136">
        <f t="shared" si="0"/>
        <v>0</v>
      </c>
      <c r="I24" s="134"/>
      <c r="J24" s="136">
        <f t="shared" si="1"/>
        <v>0</v>
      </c>
    </row>
    <row r="25" spans="2:10" x14ac:dyDescent="0.25">
      <c r="B25" s="3">
        <v>10014</v>
      </c>
      <c r="C25" t="s">
        <v>132</v>
      </c>
      <c r="D25" s="135" t="s">
        <v>132</v>
      </c>
      <c r="E25" s="135" t="s">
        <v>132</v>
      </c>
      <c r="F25" s="136">
        <v>0</v>
      </c>
      <c r="G25" s="100"/>
      <c r="H25" s="136">
        <f t="shared" si="0"/>
        <v>0</v>
      </c>
      <c r="I25" s="134"/>
      <c r="J25" s="136">
        <f t="shared" si="1"/>
        <v>0</v>
      </c>
    </row>
    <row r="26" spans="2:10" x14ac:dyDescent="0.25">
      <c r="B26" s="3">
        <v>10015</v>
      </c>
      <c r="C26" t="s">
        <v>132</v>
      </c>
      <c r="D26" s="135" t="s">
        <v>132</v>
      </c>
      <c r="E26" s="135" t="s">
        <v>132</v>
      </c>
      <c r="F26" s="136">
        <v>0</v>
      </c>
      <c r="G26" s="100"/>
      <c r="H26" s="136">
        <f t="shared" si="0"/>
        <v>0</v>
      </c>
      <c r="I26" s="134"/>
      <c r="J26" s="136">
        <f t="shared" si="1"/>
        <v>0</v>
      </c>
    </row>
    <row r="27" spans="2:10" x14ac:dyDescent="0.25">
      <c r="B27" s="3">
        <v>10016</v>
      </c>
      <c r="C27" t="s">
        <v>132</v>
      </c>
      <c r="D27" s="135" t="s">
        <v>132</v>
      </c>
      <c r="E27" s="135" t="s">
        <v>132</v>
      </c>
      <c r="F27" s="136">
        <v>0</v>
      </c>
      <c r="G27" s="100"/>
      <c r="H27" s="136">
        <f t="shared" si="0"/>
        <v>0</v>
      </c>
      <c r="I27" s="134"/>
      <c r="J27" s="136">
        <f t="shared" si="1"/>
        <v>0</v>
      </c>
    </row>
    <row r="28" spans="2:10" x14ac:dyDescent="0.25">
      <c r="B28" s="3">
        <v>10017</v>
      </c>
      <c r="C28" t="s">
        <v>132</v>
      </c>
      <c r="D28" s="135" t="s">
        <v>132</v>
      </c>
      <c r="E28" s="135" t="s">
        <v>132</v>
      </c>
      <c r="F28" s="136">
        <v>0</v>
      </c>
      <c r="G28" s="100"/>
      <c r="H28" s="136">
        <f t="shared" si="0"/>
        <v>0</v>
      </c>
      <c r="I28" s="134"/>
      <c r="J28" s="136">
        <f t="shared" si="1"/>
        <v>0</v>
      </c>
    </row>
    <row r="29" spans="2:10" x14ac:dyDescent="0.25">
      <c r="B29" s="3">
        <v>10018</v>
      </c>
      <c r="C29" t="s">
        <v>132</v>
      </c>
      <c r="D29" s="135" t="s">
        <v>132</v>
      </c>
      <c r="E29" s="135" t="s">
        <v>132</v>
      </c>
      <c r="F29" s="136">
        <v>0</v>
      </c>
      <c r="G29" s="100"/>
      <c r="H29" s="136">
        <f t="shared" si="0"/>
        <v>0</v>
      </c>
      <c r="I29" s="134"/>
      <c r="J29" s="136">
        <f t="shared" si="1"/>
        <v>0</v>
      </c>
    </row>
    <row r="30" spans="2:10" x14ac:dyDescent="0.25">
      <c r="B30" s="3">
        <v>10019</v>
      </c>
      <c r="C30" t="s">
        <v>132</v>
      </c>
      <c r="D30" s="135" t="s">
        <v>132</v>
      </c>
      <c r="E30" s="135" t="s">
        <v>132</v>
      </c>
      <c r="F30" s="136">
        <v>0</v>
      </c>
      <c r="G30" s="100"/>
      <c r="H30" s="136">
        <f t="shared" si="0"/>
        <v>0</v>
      </c>
      <c r="I30" s="134"/>
      <c r="J30" s="136">
        <f t="shared" si="1"/>
        <v>0</v>
      </c>
    </row>
    <row r="31" spans="2:10" x14ac:dyDescent="0.25">
      <c r="B31" s="3">
        <v>10020</v>
      </c>
      <c r="C31" t="s">
        <v>132</v>
      </c>
      <c r="D31" s="135" t="s">
        <v>132</v>
      </c>
      <c r="E31" s="135" t="s">
        <v>132</v>
      </c>
      <c r="F31" s="136">
        <v>0</v>
      </c>
      <c r="G31" s="100"/>
      <c r="H31" s="136">
        <f t="shared" si="0"/>
        <v>0</v>
      </c>
      <c r="I31" s="134"/>
      <c r="J31" s="136">
        <f t="shared" si="1"/>
        <v>0</v>
      </c>
    </row>
    <row r="32" spans="2:10" x14ac:dyDescent="0.25">
      <c r="B32" s="3">
        <v>10021</v>
      </c>
      <c r="C32" t="s">
        <v>132</v>
      </c>
      <c r="D32" s="135" t="s">
        <v>132</v>
      </c>
      <c r="E32" s="135" t="s">
        <v>132</v>
      </c>
      <c r="F32" s="136">
        <v>0</v>
      </c>
      <c r="G32" s="100"/>
      <c r="H32" s="136">
        <f t="shared" si="0"/>
        <v>0</v>
      </c>
      <c r="I32" s="134"/>
      <c r="J32" s="136">
        <f t="shared" si="1"/>
        <v>0</v>
      </c>
    </row>
    <row r="33" spans="2:10" x14ac:dyDescent="0.25">
      <c r="B33" s="3">
        <v>10022</v>
      </c>
      <c r="C33" t="s">
        <v>132</v>
      </c>
      <c r="D33" s="135" t="s">
        <v>132</v>
      </c>
      <c r="E33" s="135" t="s">
        <v>132</v>
      </c>
      <c r="F33" s="136">
        <v>0</v>
      </c>
      <c r="G33" s="100"/>
      <c r="H33" s="136">
        <f t="shared" si="0"/>
        <v>0</v>
      </c>
      <c r="I33" s="134"/>
      <c r="J33" s="136">
        <f t="shared" si="1"/>
        <v>0</v>
      </c>
    </row>
    <row r="34" spans="2:10" x14ac:dyDescent="0.25">
      <c r="B34" s="3">
        <v>10023</v>
      </c>
      <c r="C34" t="s">
        <v>132</v>
      </c>
      <c r="D34" s="135" t="s">
        <v>132</v>
      </c>
      <c r="E34" s="135" t="s">
        <v>132</v>
      </c>
      <c r="F34" s="136">
        <v>0</v>
      </c>
      <c r="G34" s="100"/>
      <c r="H34" s="136">
        <f t="shared" si="0"/>
        <v>0</v>
      </c>
      <c r="I34" s="134"/>
      <c r="J34" s="136">
        <f t="shared" si="1"/>
        <v>0</v>
      </c>
    </row>
    <row r="35" spans="2:10" x14ac:dyDescent="0.25">
      <c r="B35" s="3">
        <v>10024</v>
      </c>
      <c r="C35" t="s">
        <v>132</v>
      </c>
      <c r="D35" s="135" t="s">
        <v>132</v>
      </c>
      <c r="E35" s="135" t="s">
        <v>132</v>
      </c>
      <c r="F35" s="136">
        <v>0</v>
      </c>
      <c r="G35" s="100"/>
      <c r="H35" s="136">
        <f t="shared" si="0"/>
        <v>0</v>
      </c>
      <c r="I35" s="134"/>
      <c r="J35" s="136">
        <f t="shared" si="1"/>
        <v>0</v>
      </c>
    </row>
  </sheetData>
  <mergeCells count="2">
    <mergeCell ref="B7:J9"/>
    <mergeCell ref="B10:J10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Insumos y gastos</vt:lpstr>
      <vt:lpstr>Calculadora de costos</vt:lpstr>
      <vt:lpstr>Productos</vt:lpstr>
      <vt:lpstr>Lista de 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PAPEL Y ACCION</dc:creator>
  <cp:lastModifiedBy>CONCHA LUCAS NICOLAS ROGELIO</cp:lastModifiedBy>
  <dcterms:created xsi:type="dcterms:W3CDTF">2024-06-13T02:02:59Z</dcterms:created>
  <dcterms:modified xsi:type="dcterms:W3CDTF">2025-08-01T23:05:31Z</dcterms:modified>
</cp:coreProperties>
</file>